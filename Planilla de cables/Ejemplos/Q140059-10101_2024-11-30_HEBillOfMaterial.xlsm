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7" Type="http://schemas.openxmlformats.org/officeDocument/2006/relationships/custom-properties" Target="docProps/custom.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ThisWorkbook"/>
  <mc:AlternateContent xmlns:mc="http://schemas.openxmlformats.org/markup-compatibility/2006">
    <mc:Choice Requires="x15">
      <x15ac:absPath xmlns:x15ac="http://schemas.microsoft.com/office/spreadsheetml/2010/11/ac" url="https://hitachipowergrids-my.sharepoint.com/personal/jose_francisco_zudaire_hitachienergy_com/Documents/Documents/Planilla de cables/Ejemplos/"/>
    </mc:Choice>
  </mc:AlternateContent>
  <xr:revisionPtr revIDLastSave="0" documentId="8_{2D199896-EE8C-4072-A6D7-A5B36DB48AD0}" xr6:coauthVersionLast="47" xr6:coauthVersionMax="47" xr10:uidLastSave="{00000000-0000-0000-0000-000000000000}"/>
  <bookViews>
    <workbookView xWindow="-120" yWindow="-120" windowWidth="29040" windowHeight="15720" xr2:uid="{00000000-000D-0000-FFFF-FFFF00000000}"/>
  </bookViews>
  <sheets>
    <sheet name="Cover page" sheetId="24" r:id="rId1"/>
    <sheet name="BoMList" sheetId="22" r:id="rId2"/>
    <sheet name="BoMListMechanical" sheetId="25" r:id="rId3"/>
  </sheets>
  <functionGroups builtInGroupCount="19"/>
  <definedNames>
    <definedName name="BillOfMaterialArticleNumber" comment="##BillOfMaterialArticleNumber##" localSheetId="1">BoMList!$F$3</definedName>
    <definedName name="BillOfMaterialArticleNumber" comment="##BillOfMaterialArticleNumber##" localSheetId="2">BoMListMechanical!$F$3</definedName>
    <definedName name="BillOfMaterialComponentComment" comment="##BillOfMaterialComponentComment##" localSheetId="1">BoMList!$K$3</definedName>
    <definedName name="BillOfMaterialComponentComment" comment="##BillOfMaterialComponentComment##" localSheetId="2">BoMListMechanical!$K$3</definedName>
    <definedName name="BillOfMaterialComponentName" comment="##BillOfMaterialComponentName##" localSheetId="1">BoMList!$J$3</definedName>
    <definedName name="BillOfMaterialComponentName" comment="##BillOfMaterialComponentName##" localSheetId="2">BoMListMechanical!$J$3</definedName>
    <definedName name="BillOfMaterialDescription" comment="##BillOfMaterialDescription##" localSheetId="1">BoMList!$B$3</definedName>
    <definedName name="BillOfMaterialDescription" comment="##BillOfMaterialDescription##" localSheetId="2">BoMListMechanical!$B$3</definedName>
    <definedName name="BillOfMaterialManufacture" comment="##BillOfMaterialManufacture##" localSheetId="1">BoMList!$G$3</definedName>
    <definedName name="BillOfMaterialManufacture" comment="##BillOfMaterialManufacture##" localSheetId="2">BoMListMechanical!$G$3</definedName>
    <definedName name="BillOfMaterialManufactureNumber" comment="##BillOfMaterialManufactureNumber##" localSheetId="1">BoMList!$H$3</definedName>
    <definedName name="BillOfMaterialManufactureNumber" comment="##BillOfMaterialManufactureNumber##" localSheetId="2">BoMListMechanical!$H$3</definedName>
    <definedName name="BillOfMaterialPosition" comment="##BillOfMaterialPosition##" localSheetId="1">BoMList!$A$3</definedName>
    <definedName name="BillOfMaterialPosition" comment="##BillOfMaterialPosition##" localSheetId="2">BoMListMechanical!$A$3</definedName>
    <definedName name="BillOfMaterialQuantity" comment="##BillOfMaterialQuantity##" localSheetId="1">BoMList!$I$3</definedName>
    <definedName name="BillOfMaterialQuantity" comment="##BillOfMaterialQuantity##" localSheetId="2">BoMListMechanical!$I$3</definedName>
    <definedName name="BillOfMaterialRemark" comment="##BillOfMaterialRemark##" localSheetId="1">BoMList!$E$3</definedName>
    <definedName name="BillOfMaterialRemark" comment="##BillOfMaterialRemark##" localSheetId="2">BoMListMechanical!$E$3</definedName>
    <definedName name="BillOfMaterialTechnicalData" comment="##BillOfMaterialTechnicalData##" localSheetId="1">BoMList!$D$3</definedName>
    <definedName name="BillOfMaterialTechnicalData" comment="##BillOfMaterialTechnicalData##" localSheetId="2">BoMListMechanical!$D$3</definedName>
    <definedName name="BillOfMaterialTypeDesignation" comment="##BillOfMaterialTypeDesignation##" localSheetId="1">BoMList!$C$3</definedName>
    <definedName name="BillOfMaterialTypeDesignation" comment="##BillOfMaterialTypeDesignation##" localSheetId="2">BoMListMechanical!$C$3</definedName>
    <definedName name="Company">'Cover page'!$Q$37</definedName>
    <definedName name="Customer1">'Cover page'!$J$9</definedName>
    <definedName name="Customer2">'Cover page'!$J$10</definedName>
    <definedName name="DocNumber">'Cover page'!$S$37</definedName>
    <definedName name="DocuApprBy">'Cover page'!$N$35</definedName>
    <definedName name="DocuApprDate">'Cover page'!$M$35</definedName>
    <definedName name="DocuBasedOn">'Cover page'!$F$34</definedName>
    <definedName name="DocuCreateDate">'Cover page'!$M$34</definedName>
    <definedName name="DocuCreatedBy">'Cover page'!$N$34</definedName>
    <definedName name="DocumentKind">'Cover page'!$S$34</definedName>
    <definedName name="DocumentKindCode">'Cover page'!$T$35</definedName>
    <definedName name="DocumentModBy1">'Cover page'!$K$35</definedName>
    <definedName name="DocumentModBy2">'Cover page'!$K$36</definedName>
    <definedName name="DocumentModBy3">'Cover page'!$K$37</definedName>
    <definedName name="DocumentModDate1">'Cover page'!$I$35</definedName>
    <definedName name="DocumentModDate2">'Cover page'!$I$36</definedName>
    <definedName name="DocumentModDate3">'Cover page'!$I$37</definedName>
    <definedName name="DocumentNumber">'Cover page'!$S$37</definedName>
    <definedName name="DocumentRev1">'Cover page'!$D$35</definedName>
    <definedName name="DocumentRev2">'Cover page'!$D$36</definedName>
    <definedName name="DocumentRev3">'Cover page'!$D$37</definedName>
    <definedName name="DocumentRevNote1">'Cover page'!$F$35</definedName>
    <definedName name="DocumentRevNote2">'Cover page'!$F$36</definedName>
    <definedName name="DocumentRevNote3">'Cover page'!$F$37</definedName>
    <definedName name="DocuRevIndex">'Cover page'!$V$36</definedName>
    <definedName name="Equipment1">'Cover page'!$J$18</definedName>
    <definedName name="Equipment2">'Cover page'!$J$19</definedName>
    <definedName name="FunctionalName">'Cover page'!$X$34</definedName>
    <definedName name="Header1" localSheetId="1">BoMList!$A$3:$K$3</definedName>
    <definedName name="Header1" localSheetId="2">BoMListMechanical!$A$3:$K$3</definedName>
    <definedName name="Header1Row1" localSheetId="1">BoMList!$A$4:$K$4</definedName>
    <definedName name="Header1Row1" localSheetId="2">BoMListMechanical!$A$4:$K$4</definedName>
    <definedName name="Header1Row10" localSheetId="1">BoMList!$A$13:$K$13</definedName>
    <definedName name="Header1Row10" localSheetId="2">BoMListMechanical!$A$13:$K$13</definedName>
    <definedName name="Header1Row11" localSheetId="1">BoMList!$A$14:$K$14</definedName>
    <definedName name="Header1Row12" localSheetId="1">BoMList!$A$15:$K$15</definedName>
    <definedName name="Header1Row13" localSheetId="1">BoMList!$A$16:$K$16</definedName>
    <definedName name="Header1Row14" localSheetId="1">BoMList!$A$17:$K$17</definedName>
    <definedName name="Header1Row15" localSheetId="1">BoMList!$A$18:$K$18</definedName>
    <definedName name="Header1Row16" localSheetId="1">BoMList!$A$19:$K$19</definedName>
    <definedName name="Header1Row17" localSheetId="1">BoMList!$A$20:$K$20</definedName>
    <definedName name="Header1Row18" localSheetId="1">BoMList!$A$21:$K$21</definedName>
    <definedName name="Header1Row19" localSheetId="1">BoMList!$A$22:$K$22</definedName>
    <definedName name="Header1Row2" localSheetId="1">BoMList!$A$5:$K$5</definedName>
    <definedName name="Header1Row2" localSheetId="2">BoMListMechanical!$A$5:$K$5</definedName>
    <definedName name="Header1Row3" localSheetId="1">BoMList!$A$6:$K$6</definedName>
    <definedName name="Header1Row3" localSheetId="2">BoMListMechanical!$A$6:$K$6</definedName>
    <definedName name="Header1Row4" localSheetId="1">BoMList!$A$7:$K$7</definedName>
    <definedName name="Header1Row4" localSheetId="2">BoMListMechanical!$A$7:$K$7</definedName>
    <definedName name="Header1Row5" localSheetId="1">BoMList!$A$8:$K$8</definedName>
    <definedName name="Header1Row5" localSheetId="2">BoMListMechanical!$A$8:$K$8</definedName>
    <definedName name="Header1Row6" localSheetId="1">BoMList!$A$9:$K$9</definedName>
    <definedName name="Header1Row6" localSheetId="2">BoMListMechanical!$A$9:$K$9</definedName>
    <definedName name="Header1Row7" localSheetId="1">BoMList!$A$10:$K$10</definedName>
    <definedName name="Header1Row7" localSheetId="2">BoMListMechanical!$A$10:$K$10</definedName>
    <definedName name="Header1Row8" localSheetId="1">BoMList!$A$11:$K$11</definedName>
    <definedName name="Header1Row8" localSheetId="2">BoMListMechanical!$A$11:$K$11</definedName>
    <definedName name="Header1Row9" localSheetId="1">BoMList!$A$12:$K$12</definedName>
    <definedName name="Header1Row9" localSheetId="2">BoMListMechanical!$A$12:$K$12</definedName>
    <definedName name="Language">'Cover page'!$X$36</definedName>
    <definedName name="LocationName">'Cover page'!$X$35</definedName>
    <definedName name="OrderNumber1">'Cover page'!$J$12</definedName>
    <definedName name="OrderNumber2">'Cover page'!$J$13</definedName>
    <definedName name="PageCount">'Cover page'!$X$38</definedName>
    <definedName name="PageHeight">BoMList!$C$1</definedName>
    <definedName name="Plant1">'Cover page'!$J$15</definedName>
    <definedName name="Plant2">'Cover page'!$J$16</definedName>
    <definedName name="_xlnm.Print_Area" localSheetId="1">BoMList!$A$2:$K$22</definedName>
    <definedName name="_xlnm.Print_Area" localSheetId="2">BoMListMechanical!$A$2:$K$13</definedName>
    <definedName name="_xlnm.Print_Area" localSheetId="0">'Cover page'!$A$1:$Y$39</definedName>
    <definedName name="_xlnm.Print_Titles" localSheetId="1">BoMList!$2:$3</definedName>
    <definedName name="_xlnm.Print_Titles" localSheetId="2">BoMListMechanical!$2:$3</definedName>
    <definedName name="PrintRangeWidth">BoMListMechanical!$A$2:$M$2</definedName>
    <definedName name="ProjectTitle1">'Cover page'!$J$21</definedName>
    <definedName name="ProjectTitle2">'Cover page'!$J$22</definedName>
    <definedName name="ReportFields" localSheetId="1">BoMList!$A$3:$K$3</definedName>
    <definedName name="ReportFields" localSheetId="2">BoMListMechanical!$A$3:$K$3</definedName>
    <definedName name="RespDep">'Cover page'!$S$36</definedName>
    <definedName name="SectionEquipment1" localSheetId="0">'Cover page'!$J$18</definedName>
    <definedName name="SectionEquipment2" localSheetId="0">'Cover page'!$J$19</definedName>
    <definedName name="SectionProjectTitle1" localSheetId="0">'Cover page'!$J$21</definedName>
    <definedName name="SectionProjectTitle2" localSheetId="0">'Cover page'!$J$22</definedName>
    <definedName name="SHEET_CREATED_BY" localSheetId="0">'Cover page'!$N$34</definedName>
    <definedName name="SheetApprBy" localSheetId="0">'Cover page'!$N$35</definedName>
    <definedName name="SheetCreateDate" localSheetId="0">'Cover page'!$M$34</definedName>
    <definedName name="SHEETDATEAPPROVAL" localSheetId="0">'Cover page'!$M$35</definedName>
    <definedName name="SheetRevDate1" localSheetId="0">'Cover page'!$I$35</definedName>
    <definedName name="SheetRevDate2" localSheetId="0">'Cover page'!$I$36</definedName>
    <definedName name="SheetRevDate3" localSheetId="0">'Cover page'!$I$37</definedName>
    <definedName name="SheetRevIndex1" localSheetId="0">'Cover page'!$D$35</definedName>
    <definedName name="SheetRevIndex2" localSheetId="0">'Cover page'!$D$36</definedName>
    <definedName name="SheetRevIndex3" localSheetId="0">'Cover page'!$D$37</definedName>
    <definedName name="Sheetrevisionindex" localSheetId="0">'Cover page'!$V$36</definedName>
    <definedName name="SheetRevModBy1" localSheetId="0">'Cover page'!$K$35</definedName>
    <definedName name="SheetRevModBy2" localSheetId="0">'Cover page'!$K$36</definedName>
    <definedName name="SheetRevModBy3" localSheetId="0">'Cover page'!$K$37</definedName>
    <definedName name="SheetRevNote1" localSheetId="0">'Cover page'!$F$35</definedName>
    <definedName name="SheetRevNote2" localSheetId="0">'Cover page'!$F$36</definedName>
    <definedName name="SheetRevNote3" localSheetId="0">'Cover page'!$F$37</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8" i="24" l="1"/>
  <c r="M37" i="24"/>
  <c r="M36" i="24"/>
  <c r="P35" i="24"/>
  <c r="P34" i="24"/>
  <c r="B7" i="24"/>
  <c r="I2" i="25" s="1"/>
  <c r="I2" i="22" l="1"/>
</calcChain>
</file>

<file path=xl/sharedStrings.xml><?xml version="1.0" encoding="utf-8"?>
<sst xmlns="http://schemas.openxmlformats.org/spreadsheetml/2006/main" count="407" uniqueCount="199">
  <si>
    <t>1KGT012600R0002</t>
  </si>
  <si>
    <t>DCC</t>
  </si>
  <si>
    <t>SERIE 7H</t>
  </si>
  <si>
    <t>UT 4-MT</t>
  </si>
  <si>
    <t>2966197</t>
  </si>
  <si>
    <t>KL48201</t>
  </si>
  <si>
    <t>120-140 VAC/ 50 W</t>
  </si>
  <si>
    <t>Borne_PSS</t>
  </si>
  <si>
    <t>Q140059-10101</t>
  </si>
  <si>
    <t>S 281 UC-C2</t>
  </si>
  <si>
    <t>M. MORALES</t>
  </si>
  <si>
    <t>Finder AG</t>
  </si>
  <si>
    <t>100x80mm</t>
  </si>
  <si>
    <t>8 differential inputs</t>
  </si>
  <si>
    <t>Doc. no.</t>
  </si>
  <si>
    <t>7T.81.0.000.2403</t>
  </si>
  <si>
    <t>Length 580mm</t>
  </si>
  <si>
    <t>ABB</t>
  </si>
  <si>
    <t>Quantity</t>
  </si>
  <si>
    <t>23BE23</t>
  </si>
  <si>
    <t>HIDRELCO</t>
  </si>
  <si>
    <t>Manufacture</t>
  </si>
  <si>
    <t>2</t>
  </si>
  <si>
    <t>Interface terminal relay</t>
  </si>
  <si>
    <t>2966171</t>
  </si>
  <si>
    <t>70x40mm</t>
  </si>
  <si>
    <t>Processor module</t>
  </si>
  <si>
    <t>Customer drawing no.</t>
  </si>
  <si>
    <t>No.sheets</t>
  </si>
  <si>
    <t>PLC-RSC-120UC/21</t>
  </si>
  <si>
    <t>Length 1780mm</t>
  </si>
  <si>
    <t>Kalop</t>
  </si>
  <si>
    <t>Type Description</t>
  </si>
  <si>
    <t>Lamp</t>
  </si>
  <si>
    <t>560CMU02</t>
  </si>
  <si>
    <t>Date</t>
  </si>
  <si>
    <t>Bill of material</t>
  </si>
  <si>
    <t>GHS2820164R0104</t>
  </si>
  <si>
    <t>Based on</t>
  </si>
  <si>
    <t>Mounting rail 80x40x640</t>
  </si>
  <si>
    <t>GHS2810164R0024</t>
  </si>
  <si>
    <t>Lamp EAO</t>
  </si>
  <si>
    <t>Rear mounting</t>
  </si>
  <si>
    <t>2938866</t>
  </si>
  <si>
    <t>250 VAC/10 A</t>
  </si>
  <si>
    <t>RTU560</t>
  </si>
  <si>
    <t>Project</t>
  </si>
  <si>
    <t>230VAC, 9 Watt</t>
  </si>
  <si>
    <t>Calefactor Finder 7H</t>
  </si>
  <si>
    <t>19</t>
  </si>
  <si>
    <t>QUINT-PS-100-240AC/24DC/10</t>
  </si>
  <si>
    <t>Miniature circuit breaker</t>
  </si>
  <si>
    <t>10</t>
  </si>
  <si>
    <t>Sheet</t>
  </si>
  <si>
    <t>7H.11.0.230.1050</t>
  </si>
  <si>
    <t>Customer</t>
  </si>
  <si>
    <t>1MRB159600P0731</t>
  </si>
  <si>
    <t>16</t>
  </si>
  <si>
    <t>Microcontacto de puerta</t>
  </si>
  <si>
    <t>24-60VDC</t>
  </si>
  <si>
    <t>Analogue input module</t>
  </si>
  <si>
    <t>13</t>
  </si>
  <si>
    <t>120VAC/110VDC</t>
  </si>
  <si>
    <t>05/05/14</t>
  </si>
  <si>
    <t>ARMARIO DE RTU SERVICIOS AUXILIARES</t>
  </si>
  <si>
    <t>QC-00MPR-2L CBN</t>
  </si>
  <si>
    <t>2CDS252001R0104</t>
  </si>
  <si>
    <t>2 Serial ports, 2 Ethernet port</t>
  </si>
  <si>
    <t>Rev.ind.</t>
  </si>
  <si>
    <t>RESP07 Perforated mounting plate half 800</t>
  </si>
  <si>
    <t>1 pole, 440VAC/220VDC</t>
  </si>
  <si>
    <t>16 inputs</t>
  </si>
  <si>
    <t>Cable duct 80x40x640</t>
  </si>
  <si>
    <t>SERIE 7T</t>
  </si>
  <si>
    <t>Calefactor</t>
  </si>
  <si>
    <t>Length 640mm</t>
  </si>
  <si>
    <t>Cable duct 100x80x1880</t>
  </si>
  <si>
    <t>Tubo Fluorescente</t>
  </si>
  <si>
    <t>Title</t>
  </si>
  <si>
    <t>±40mA, 0-20V</t>
  </si>
  <si>
    <t>Revision note</t>
  </si>
  <si>
    <t>3</t>
  </si>
  <si>
    <t>Technical Data</t>
  </si>
  <si>
    <t>2 pole, 440VAC/440VDC</t>
  </si>
  <si>
    <t>PLC-RSC-24DC/21</t>
  </si>
  <si>
    <t>©</t>
  </si>
  <si>
    <t>Language</t>
  </si>
  <si>
    <t>Name</t>
  </si>
  <si>
    <t>0-60°C</t>
  </si>
  <si>
    <t>:</t>
  </si>
  <si>
    <t>Approved</t>
  </si>
  <si>
    <t>Mounting rail</t>
  </si>
  <si>
    <t>8</t>
  </si>
  <si>
    <t>The reproduction, distribution and utilization of this document as well as the communication of its contents to others without express authorization are prohibited.
Offenders will be held liable for the payment of damages. All rights reserved in the event of the grant of a patent, utility model or design.</t>
  </si>
  <si>
    <t>Prepared</t>
  </si>
  <si>
    <t>6A</t>
  </si>
  <si>
    <t>Borne PSSS</t>
  </si>
  <si>
    <t>E.T. ITAEMBE GUAZU 33/13,2 kV</t>
  </si>
  <si>
    <t>7.5x35mm</t>
  </si>
  <si>
    <t>DIN rail power supply</t>
  </si>
  <si>
    <t>en</t>
  </si>
  <si>
    <t>3046139</t>
  </si>
  <si>
    <t>3044102</t>
  </si>
  <si>
    <t>M. M.</t>
  </si>
  <si>
    <t>Doc.kind.</t>
  </si>
  <si>
    <t>Pos</t>
  </si>
  <si>
    <t>2A</t>
  </si>
  <si>
    <t>GSNE000700R5312</t>
  </si>
  <si>
    <t>S 282 UC-C6</t>
  </si>
  <si>
    <t>1MRB159600P0709</t>
  </si>
  <si>
    <t>Ref.des.</t>
  </si>
  <si>
    <t>96</t>
  </si>
  <si>
    <t>Length 1880mm</t>
  </si>
  <si>
    <t>Equipment</t>
  </si>
  <si>
    <t>Phoenix Contact</t>
  </si>
  <si>
    <t>Cable duct 80x40x580</t>
  </si>
  <si>
    <t>Length 625mm</t>
  </si>
  <si>
    <t>MPR-2L</t>
  </si>
  <si>
    <t>QC-00474.009</t>
  </si>
  <si>
    <t>Cable duct 70x40x1780</t>
  </si>
  <si>
    <t>Max row per page</t>
  </si>
  <si>
    <t>EO</t>
  </si>
  <si>
    <t>Comments</t>
  </si>
  <si>
    <t>S 202 C 10</t>
  </si>
  <si>
    <t>Length 630mm</t>
  </si>
  <si>
    <t>Input: 100-240VAC, Output: 24VDC/10A</t>
  </si>
  <si>
    <t>Mounting rail 7.5x35x580</t>
  </si>
  <si>
    <t>RESP07 Earthing bar 800 SA</t>
  </si>
  <si>
    <t>1KGT012100R5001</t>
  </si>
  <si>
    <t>Order</t>
  </si>
  <si>
    <t>Plant</t>
  </si>
  <si>
    <t>1</t>
  </si>
  <si>
    <t>EMISION ORIGINAL</t>
  </si>
  <si>
    <t>Earthing bar</t>
  </si>
  <si>
    <t>Remark</t>
  </si>
  <si>
    <t>2 pole, 440VAC/125VDC</t>
  </si>
  <si>
    <t>Mounting plate</t>
  </si>
  <si>
    <t>17</t>
  </si>
  <si>
    <t>1MCZ500253P0108</t>
  </si>
  <si>
    <t>0</t>
  </si>
  <si>
    <t>790x900mm</t>
  </si>
  <si>
    <t>Borne interrumpible  por cuchilla</t>
  </si>
  <si>
    <t>Fuente Phoenix 24V-10A</t>
  </si>
  <si>
    <t>X000628</t>
  </si>
  <si>
    <t>Socket Ba9s</t>
  </si>
  <si>
    <t>11</t>
  </si>
  <si>
    <t>Device Description</t>
  </si>
  <si>
    <t>Manufacturer number</t>
  </si>
  <si>
    <t>Mounting rail 7.5x35x630</t>
  </si>
  <si>
    <t>Resp.dept.</t>
  </si>
  <si>
    <t>9</t>
  </si>
  <si>
    <t>85-264VAC/90-350VDC - 24VDC/10-15.10A</t>
  </si>
  <si>
    <t>5x30x650mm</t>
  </si>
  <si>
    <t>Binary input module</t>
  </si>
  <si>
    <t>05/08/14</t>
  </si>
  <si>
    <t>The reproduction, distribution and utilization of this document as well as the communication of its contents to others without express authorization are prohibited. 
Offenders will be held liable for the payment of damages. All rights reserved in the event of the grant of a patent, utility model or design.</t>
  </si>
  <si>
    <t>S 282 UC-C10</t>
  </si>
  <si>
    <t>MICROCONTACTO DE PUERTA</t>
  </si>
  <si>
    <t/>
  </si>
  <si>
    <t>Neumann</t>
  </si>
  <si>
    <t>GHS2820164R0064</t>
  </si>
  <si>
    <t>various</t>
  </si>
  <si>
    <t>4</t>
  </si>
  <si>
    <t>Thermostat</t>
  </si>
  <si>
    <t>1KGT012200R5001</t>
  </si>
  <si>
    <t>7</t>
  </si>
  <si>
    <t>130V, 20mA</t>
  </si>
  <si>
    <t>80x40mm</t>
  </si>
  <si>
    <t>Binary output module</t>
  </si>
  <si>
    <t>6</t>
  </si>
  <si>
    <t>X004233</t>
  </si>
  <si>
    <t>Tomacorriente</t>
  </si>
  <si>
    <t>EPB</t>
  </si>
  <si>
    <t>1CO</t>
  </si>
  <si>
    <t>Lamp for push button</t>
  </si>
  <si>
    <t>EAO</t>
  </si>
  <si>
    <t>Hitachi Energy. All rights reserved.</t>
  </si>
  <si>
    <t>16 outputs</t>
  </si>
  <si>
    <t>23AE23</t>
  </si>
  <si>
    <t>5</t>
  </si>
  <si>
    <t>Termostato Finder 7T</t>
  </si>
  <si>
    <t>05/05/2014</t>
  </si>
  <si>
    <t>APTO PARA FABRICACION</t>
  </si>
  <si>
    <t>24VDC</t>
  </si>
  <si>
    <t>15</t>
  </si>
  <si>
    <t>700.000.7</t>
  </si>
  <si>
    <t>Mounting rail 7.5x35x625</t>
  </si>
  <si>
    <t>ArticleNumber</t>
  </si>
  <si>
    <t>ESQUEMA CONSTRUCTIVO Y FUNCIONAL</t>
  </si>
  <si>
    <t>UT 4 MT</t>
  </si>
  <si>
    <t>Cable duct</t>
  </si>
  <si>
    <t>14</t>
  </si>
  <si>
    <t>12</t>
  </si>
  <si>
    <t>10A</t>
  </si>
  <si>
    <t>Entry</t>
  </si>
  <si>
    <t>18</t>
  </si>
  <si>
    <t>241</t>
  </si>
  <si>
    <t>TAGLIANI</t>
  </si>
  <si>
    <t>23BA20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</si>
</sst>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8">
    <font>
      <sz val="10"/>
      <name val="Arial"/>
      <family val="2"/>
    </font>
    <font>
      <sz val="12"/>
      <name val="Arial"/>
      <family val="2"/>
    </font>
    <font>
      <sz val="12"/>
      <color rgb="FF000000"/>
      <name val="Arial"/>
      <family val="2"/>
    </font>
    <font>
      <sz val="10"/>
      <color rgb="FF000000"/>
      <name val="Arial"/>
      <family val="2"/>
    </font>
    <font>
      <sz val="25"/>
      <color rgb="FF000000"/>
      <name val="ABB Logo"/>
    </font>
    <font>
      <sz val="7.5"/>
      <color rgb="FF000000"/>
      <name val="Arial"/>
      <family val="2"/>
    </font>
    <font>
      <sz val="10"/>
      <color theme="1"/>
      <name val="Arial"/>
      <family val="2"/>
    </font>
    <font>
      <sz val="20"/>
      <color rgb="FF000000"/>
      <name val="Arial"/>
      <family val="2"/>
    </font>
    <font>
      <sz val="9"/>
      <name val="Arial Unicode MS"/>
      <family val="2"/>
    </font>
    <font>
      <sz val="8.1999999999999993"/>
      <color rgb="FF000000"/>
      <name val="Arial"/>
      <family val="2"/>
    </font>
    <font>
      <sz val="6"/>
      <color rgb="FF000000"/>
      <name val="Arial"/>
      <family val="2"/>
    </font>
    <font>
      <sz val="9"/>
      <name val="Arial"/>
      <family val="2"/>
    </font>
    <font>
      <sz val="8.5"/>
      <color rgb="FF000000"/>
      <name val="Arial"/>
      <family val="2"/>
    </font>
    <font>
      <sz val="17"/>
      <color rgb="FF000000"/>
      <name val="Arial"/>
      <family val="2"/>
    </font>
    <font>
      <sz val="9.5"/>
      <color rgb="FF000000"/>
      <name val="Arial"/>
      <family val="2"/>
    </font>
    <font>
      <sz val="18"/>
      <color rgb="FF000000"/>
      <name val="Arial"/>
      <family val="2"/>
    </font>
    <font>
      <sz val="72"/>
      <color rgb="FF000000"/>
      <name val="Arial"/>
      <family val="2"/>
    </font>
    <font>
      <sz val="10"/>
      <name val="Arial"/>
      <family val="2"/>
    </font>
  </fonts>
  <fills count="3">
    <fill>
      <patternFill patternType="none"/>
    </fill>
    <fill>
      <patternFill patternType="gray125"/>
    </fill>
    <fill>
      <patternFill patternType="solid">
        <fgColor theme="0" tint="-4.9989318521683403E-2"/>
        <bgColor rgb="FF000000"/>
      </patternFill>
    </fill>
  </fills>
  <borders count="39">
    <border>
      <left/>
      <right/>
      <top/>
      <bottom/>
      <diagonal/>
    </border>
    <border>
      <left style="thin">
        <color rgb="FF000000"/>
      </left>
      <right/>
      <top/>
      <bottom/>
      <diagonal/>
    </border>
    <border>
      <left/>
      <right/>
      <top style="medium">
        <color rgb="FF000000"/>
      </top>
      <bottom style="thin">
        <color rgb="FF000000"/>
      </bottom>
      <diagonal/>
    </border>
    <border>
      <left/>
      <right/>
      <top style="thin">
        <color rgb="FF000000"/>
      </top>
      <bottom/>
      <diagonal/>
    </border>
    <border>
      <left style="medium">
        <color rgb="FF000000"/>
      </left>
      <right/>
      <top style="thin">
        <color rgb="FF000000"/>
      </top>
      <bottom style="medium">
        <color rgb="FF000000"/>
      </bottom>
      <diagonal/>
    </border>
    <border>
      <left/>
      <right style="medium">
        <color rgb="FF000000"/>
      </right>
      <top/>
      <bottom/>
      <diagonal/>
    </border>
    <border>
      <left style="medium">
        <color rgb="FF000000"/>
      </left>
      <right/>
      <top style="medium">
        <color rgb="FF000000"/>
      </top>
      <bottom/>
      <diagonal/>
    </border>
    <border>
      <left/>
      <right/>
      <top style="thin">
        <color rgb="FF000000"/>
      </top>
      <bottom style="thin">
        <color rgb="FF000000"/>
      </bottom>
      <diagonal/>
    </border>
    <border>
      <left/>
      <right/>
      <top/>
      <bottom style="thin">
        <color rgb="FF000000"/>
      </bottom>
      <diagonal/>
    </border>
    <border>
      <left style="thin">
        <color rgb="FF000000"/>
      </left>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medium">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style="medium">
        <color rgb="FF000000"/>
      </bottom>
      <diagonal/>
    </border>
    <border>
      <left style="thin">
        <color rgb="FF000000"/>
      </left>
      <right/>
      <top/>
      <bottom style="medium">
        <color rgb="FF000000"/>
      </bottom>
      <diagonal/>
    </border>
    <border>
      <left/>
      <right style="thin">
        <color rgb="FF000000"/>
      </right>
      <top/>
      <bottom/>
      <diagonal/>
    </border>
    <border>
      <left style="medium">
        <color rgb="FF000000"/>
      </left>
      <right/>
      <top/>
      <bottom/>
      <diagonal/>
    </border>
    <border>
      <left style="medium">
        <color rgb="FF000000"/>
      </left>
      <right/>
      <top style="thin">
        <color rgb="FF000000"/>
      </top>
      <bottom style="thin">
        <color rgb="FF000000"/>
      </bottom>
      <diagonal/>
    </border>
    <border>
      <left/>
      <right/>
      <top/>
      <bottom style="medium">
        <color rgb="FF000000"/>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medium">
        <color rgb="FF000000"/>
      </left>
      <right/>
      <top style="medium">
        <color rgb="FF000000"/>
      </top>
      <bottom style="thin">
        <color rgb="FF000000"/>
      </bottom>
      <diagonal/>
    </border>
    <border>
      <left/>
      <right/>
      <top style="thin">
        <color rgb="FF000000"/>
      </top>
      <bottom style="medium">
        <color rgb="FF000000"/>
      </bottom>
      <diagonal/>
    </border>
    <border>
      <left/>
      <right style="thin">
        <color rgb="FF000000"/>
      </right>
      <top/>
      <bottom style="medium">
        <color rgb="FF000000"/>
      </bottom>
      <diagonal/>
    </border>
    <border>
      <left/>
      <right/>
      <top style="medium">
        <color rgb="FF000000"/>
      </top>
      <bottom/>
      <diagonal/>
    </border>
    <border>
      <left style="thin">
        <color rgb="FF000000"/>
      </left>
      <right style="medium">
        <color rgb="FF000000"/>
      </right>
      <top style="thin">
        <color rgb="FF000000"/>
      </top>
      <bottom style="medium">
        <color rgb="FF000000"/>
      </bottom>
      <diagonal/>
    </border>
    <border>
      <left/>
      <right style="medium">
        <color rgb="FF000000"/>
      </right>
      <top/>
      <bottom style="thin">
        <color rgb="FF000000"/>
      </bottom>
      <diagonal/>
    </border>
    <border>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style="medium">
        <color rgb="FF000000"/>
      </right>
      <top style="medium">
        <color rgb="FF000000"/>
      </top>
      <bottom/>
      <diagonal/>
    </border>
    <border>
      <left style="thin">
        <color rgb="FF000000"/>
      </left>
      <right style="thin">
        <color rgb="FF000000"/>
      </right>
      <top style="medium">
        <color rgb="FF000000"/>
      </top>
      <bottom/>
      <diagonal/>
    </border>
    <border>
      <left/>
      <right style="medium">
        <color rgb="FF000000"/>
      </right>
      <top style="thin">
        <color rgb="FF000000"/>
      </top>
      <bottom style="medium">
        <color rgb="FF000000"/>
      </bottom>
      <diagonal/>
    </border>
  </borders>
  <cellStyleXfs count="3">
    <xf numFmtId="0" fontId="0" fillId="0" borderId="0"/>
    <xf numFmtId="0" fontId="17" fillId="0" borderId="0"/>
    <xf numFmtId="0" fontId="1" fillId="0" borderId="0"/>
  </cellStyleXfs>
  <cellXfs count="145">
    <xf numFmtId="0" fontId="0" fillId="0" borderId="0" xfId="0"/>
    <xf numFmtId="0" fontId="2" fillId="0" borderId="1" xfId="1" applyFont="1" applyBorder="1" applyAlignment="1">
      <alignment horizontal="right" vertical="center" textRotation="90"/>
    </xf>
    <xf numFmtId="49" fontId="2" fillId="0" borderId="0" xfId="2" applyNumberFormat="1" applyFont="1"/>
    <xf numFmtId="164" fontId="3" fillId="0" borderId="2" xfId="2" applyNumberFormat="1" applyFont="1" applyBorder="1" applyAlignment="1">
      <alignment horizontal="left" vertical="center"/>
    </xf>
    <xf numFmtId="0" fontId="5" fillId="0" borderId="4" xfId="2" applyFont="1" applyBorder="1" applyAlignment="1">
      <alignment horizontal="center" vertical="center"/>
    </xf>
    <xf numFmtId="0" fontId="3" fillId="0" borderId="5" xfId="1" applyFont="1" applyBorder="1"/>
    <xf numFmtId="1" fontId="2" fillId="0" borderId="1" xfId="1" applyNumberFormat="1" applyFont="1" applyBorder="1" applyAlignment="1">
      <alignment horizontal="right" vertical="center" textRotation="90"/>
    </xf>
    <xf numFmtId="0" fontId="2" fillId="0" borderId="3" xfId="2" applyFont="1" applyBorder="1" applyAlignment="1">
      <alignment horizontal="center"/>
    </xf>
    <xf numFmtId="0" fontId="3" fillId="0" borderId="6" xfId="1" applyFont="1" applyBorder="1"/>
    <xf numFmtId="0" fontId="3" fillId="0" borderId="8" xfId="2" applyFont="1" applyBorder="1"/>
    <xf numFmtId="0" fontId="6" fillId="0" borderId="10" xfId="0" applyFont="1" applyBorder="1" applyAlignment="1">
      <alignment vertical="top"/>
    </xf>
    <xf numFmtId="0" fontId="3" fillId="0" borderId="0" xfId="1" applyFont="1"/>
    <xf numFmtId="49" fontId="6" fillId="0" borderId="10" xfId="0" applyNumberFormat="1" applyFont="1" applyBorder="1" applyAlignment="1">
      <alignment vertical="top"/>
    </xf>
    <xf numFmtId="0" fontId="2" fillId="0" borderId="0" xfId="2" applyFont="1"/>
    <xf numFmtId="0" fontId="5" fillId="0" borderId="12" xfId="2" applyFont="1" applyBorder="1" applyAlignment="1">
      <alignment horizontal="left"/>
    </xf>
    <xf numFmtId="0" fontId="0" fillId="0" borderId="0" xfId="2" applyFont="1" applyAlignment="1">
      <alignment horizontal="center"/>
    </xf>
    <xf numFmtId="0" fontId="0" fillId="2" borderId="13" xfId="0" applyFill="1" applyBorder="1" applyAlignment="1">
      <alignment horizontal="center"/>
    </xf>
    <xf numFmtId="0" fontId="7" fillId="0" borderId="0" xfId="1" applyFont="1" applyAlignment="1">
      <alignment horizontal="left" vertical="center"/>
    </xf>
    <xf numFmtId="0" fontId="5" fillId="0" borderId="14" xfId="1" applyFont="1" applyBorder="1" applyAlignment="1">
      <alignment horizontal="left"/>
    </xf>
    <xf numFmtId="0" fontId="8" fillId="0" borderId="0" xfId="2" applyFont="1" applyAlignment="1">
      <alignment vertical="center"/>
    </xf>
    <xf numFmtId="49" fontId="2" fillId="0" borderId="0" xfId="2" applyNumberFormat="1" applyFont="1" applyAlignment="1">
      <alignment horizontal="center"/>
    </xf>
    <xf numFmtId="22" fontId="10" fillId="0" borderId="0" xfId="2" applyNumberFormat="1" applyFont="1"/>
    <xf numFmtId="0" fontId="5" fillId="0" borderId="12" xfId="2" applyFont="1" applyBorder="1"/>
    <xf numFmtId="49" fontId="2" fillId="0" borderId="20" xfId="2" applyNumberFormat="1" applyFont="1" applyBorder="1" applyAlignment="1">
      <alignment horizontal="center"/>
    </xf>
    <xf numFmtId="0" fontId="8" fillId="0" borderId="8" xfId="2" applyFont="1" applyBorder="1"/>
    <xf numFmtId="0" fontId="3" fillId="0" borderId="21" xfId="2" applyFont="1" applyBorder="1" applyAlignment="1">
      <alignment horizontal="center" vertical="center"/>
    </xf>
    <xf numFmtId="0" fontId="3" fillId="0" borderId="12" xfId="1" applyFont="1" applyBorder="1" applyAlignment="1">
      <alignment horizontal="left"/>
    </xf>
    <xf numFmtId="0" fontId="3" fillId="0" borderId="7" xfId="2" applyFont="1" applyBorder="1" applyAlignment="1">
      <alignment horizontal="center" vertical="center"/>
    </xf>
    <xf numFmtId="0" fontId="5" fillId="0" borderId="3" xfId="1" applyFont="1" applyBorder="1"/>
    <xf numFmtId="0" fontId="2" fillId="0" borderId="1" xfId="1" applyFont="1" applyBorder="1" applyAlignment="1">
      <alignment horizontal="right"/>
    </xf>
    <xf numFmtId="0" fontId="0" fillId="0" borderId="0" xfId="2" applyFont="1"/>
    <xf numFmtId="0" fontId="3" fillId="0" borderId="23" xfId="2" applyFont="1" applyBorder="1" applyAlignment="1">
      <alignment vertical="center"/>
    </xf>
    <xf numFmtId="0" fontId="2" fillId="0" borderId="5" xfId="2" applyFont="1" applyBorder="1"/>
    <xf numFmtId="0" fontId="3" fillId="0" borderId="24" xfId="2" applyFont="1" applyBorder="1" applyAlignment="1">
      <alignment horizontal="center" vertical="center"/>
    </xf>
    <xf numFmtId="0" fontId="3" fillId="0" borderId="12" xfId="2" applyFont="1" applyBorder="1" applyAlignment="1">
      <alignment vertical="center"/>
    </xf>
    <xf numFmtId="0" fontId="3" fillId="0" borderId="25" xfId="2" applyFont="1" applyBorder="1" applyAlignment="1">
      <alignment horizontal="right" vertical="center"/>
    </xf>
    <xf numFmtId="164" fontId="3" fillId="0" borderId="8" xfId="2" applyNumberFormat="1" applyFont="1" applyBorder="1" applyAlignment="1">
      <alignment horizontal="left" vertical="center"/>
    </xf>
    <xf numFmtId="0" fontId="0" fillId="2" borderId="26" xfId="0" applyFill="1" applyBorder="1"/>
    <xf numFmtId="49" fontId="7" fillId="0" borderId="0" xfId="2" applyNumberFormat="1" applyFont="1" applyAlignment="1">
      <alignment horizontal="left"/>
    </xf>
    <xf numFmtId="0" fontId="13" fillId="0" borderId="0" xfId="1" applyFont="1" applyAlignment="1">
      <alignment horizontal="left" vertical="center"/>
    </xf>
    <xf numFmtId="0" fontId="5" fillId="0" borderId="28" xfId="2" applyFont="1" applyBorder="1" applyAlignment="1">
      <alignment horizontal="center" vertical="center"/>
    </xf>
    <xf numFmtId="0" fontId="3" fillId="0" borderId="30" xfId="1" applyFont="1" applyBorder="1"/>
    <xf numFmtId="0" fontId="0" fillId="0" borderId="0" xfId="2" applyFont="1" applyAlignment="1">
      <alignment vertical="center"/>
    </xf>
    <xf numFmtId="0" fontId="0" fillId="2" borderId="31" xfId="0" applyFill="1" applyBorder="1"/>
    <xf numFmtId="0" fontId="3" fillId="0" borderId="32" xfId="2" applyFont="1" applyBorder="1" applyAlignment="1">
      <alignment vertical="center"/>
    </xf>
    <xf numFmtId="49" fontId="7" fillId="0" borderId="0" xfId="2" applyNumberFormat="1" applyFont="1"/>
    <xf numFmtId="0" fontId="5" fillId="0" borderId="14" xfId="1" applyFont="1" applyBorder="1"/>
    <xf numFmtId="0" fontId="3" fillId="0" borderId="0" xfId="1" applyFont="1" applyAlignment="1">
      <alignment horizontal="left" vertical="center"/>
    </xf>
    <xf numFmtId="0" fontId="2" fillId="0" borderId="1" xfId="1" applyFont="1" applyBorder="1" applyAlignment="1">
      <alignment horizontal="right" textRotation="90"/>
    </xf>
    <xf numFmtId="0" fontId="3" fillId="0" borderId="20" xfId="2" applyFont="1" applyBorder="1" applyAlignment="1">
      <alignment horizontal="center"/>
    </xf>
    <xf numFmtId="0" fontId="0" fillId="0" borderId="0" xfId="0" applyAlignment="1">
      <alignment horizontal="left"/>
    </xf>
    <xf numFmtId="0" fontId="3" fillId="0" borderId="0" xfId="2" applyFont="1" applyAlignment="1">
      <alignment horizontal="center"/>
    </xf>
    <xf numFmtId="0" fontId="3" fillId="0" borderId="19" xfId="2" applyFont="1" applyBorder="1"/>
    <xf numFmtId="0" fontId="11" fillId="0" borderId="0" xfId="2" applyFont="1"/>
    <xf numFmtId="0" fontId="3" fillId="0" borderId="34" xfId="1" applyFont="1" applyBorder="1" applyAlignment="1">
      <alignment horizontal="left"/>
    </xf>
    <xf numFmtId="0" fontId="5" fillId="0" borderId="35" xfId="2" applyFont="1" applyBorder="1"/>
    <xf numFmtId="0" fontId="14" fillId="0" borderId="19" xfId="1" applyFont="1" applyBorder="1" applyAlignment="1">
      <alignment horizontal="center" vertical="top" textRotation="90"/>
    </xf>
    <xf numFmtId="0" fontId="3" fillId="0" borderId="11" xfId="1" applyFont="1" applyBorder="1" applyAlignment="1">
      <alignment horizontal="right" vertical="center"/>
    </xf>
    <xf numFmtId="0" fontId="16" fillId="0" borderId="0" xfId="1" applyFont="1" applyAlignment="1">
      <alignment horizontal="left" vertical="center"/>
    </xf>
    <xf numFmtId="0" fontId="8" fillId="0" borderId="0" xfId="2" applyFont="1"/>
    <xf numFmtId="0" fontId="3" fillId="0" borderId="0" xfId="2" applyFont="1"/>
    <xf numFmtId="49" fontId="13" fillId="0" borderId="0" xfId="2" applyNumberFormat="1" applyFont="1" applyAlignment="1">
      <alignment horizontal="left" vertical="center"/>
    </xf>
    <xf numFmtId="1" fontId="12" fillId="0" borderId="19" xfId="1" applyNumberFormat="1" applyFont="1" applyBorder="1" applyAlignment="1">
      <alignment horizontal="center" vertical="center" textRotation="90"/>
    </xf>
    <xf numFmtId="0" fontId="3" fillId="0" borderId="36" xfId="1" applyFont="1" applyBorder="1" applyAlignment="1">
      <alignment horizontal="right" vertical="center"/>
    </xf>
    <xf numFmtId="0" fontId="5" fillId="0" borderId="30" xfId="2" applyFont="1" applyBorder="1" applyAlignment="1">
      <alignment horizontal="right"/>
    </xf>
    <xf numFmtId="0" fontId="3" fillId="0" borderId="30" xfId="1" applyFont="1" applyBorder="1" applyAlignment="1">
      <alignment horizontal="right" vertical="center"/>
    </xf>
    <xf numFmtId="0" fontId="5" fillId="0" borderId="28" xfId="2" applyFont="1" applyBorder="1" applyAlignment="1">
      <alignment horizontal="left"/>
    </xf>
    <xf numFmtId="0" fontId="3" fillId="0" borderId="2" xfId="2" applyFont="1" applyBorder="1" applyAlignment="1">
      <alignment horizontal="left"/>
    </xf>
    <xf numFmtId="0" fontId="3" fillId="0" borderId="32" xfId="1" applyFont="1" applyBorder="1" applyAlignment="1">
      <alignment horizontal="right"/>
    </xf>
    <xf numFmtId="0" fontId="3" fillId="0" borderId="16" xfId="2" applyFont="1" applyBorder="1" applyAlignment="1">
      <alignment vertical="center"/>
    </xf>
    <xf numFmtId="0" fontId="1" fillId="0" borderId="0" xfId="2"/>
    <xf numFmtId="0" fontId="5" fillId="0" borderId="0" xfId="2" applyFont="1"/>
    <xf numFmtId="0" fontId="3" fillId="0" borderId="1" xfId="1" applyFont="1" applyBorder="1"/>
    <xf numFmtId="0" fontId="3" fillId="0" borderId="8" xfId="1" applyFont="1" applyBorder="1" applyAlignment="1">
      <alignment horizontal="right"/>
    </xf>
    <xf numFmtId="0" fontId="0" fillId="2" borderId="13" xfId="0" applyFill="1" applyBorder="1"/>
    <xf numFmtId="0" fontId="6" fillId="0" borderId="37" xfId="0" applyFont="1" applyBorder="1" applyAlignment="1">
      <alignment vertical="top"/>
    </xf>
    <xf numFmtId="0" fontId="3" fillId="0" borderId="19" xfId="1" applyFont="1" applyBorder="1"/>
    <xf numFmtId="14" fontId="0" fillId="0" borderId="0" xfId="0" applyNumberFormat="1"/>
    <xf numFmtId="0" fontId="2" fillId="0" borderId="15" xfId="2" applyFont="1" applyBorder="1"/>
    <xf numFmtId="0" fontId="3" fillId="0" borderId="15" xfId="2" applyFont="1" applyBorder="1" applyAlignment="1">
      <alignment horizontal="left" vertical="center"/>
    </xf>
    <xf numFmtId="0" fontId="5" fillId="0" borderId="16" xfId="1" applyFont="1" applyBorder="1" applyAlignment="1">
      <alignment horizontal="left"/>
    </xf>
    <xf numFmtId="0" fontId="3" fillId="0" borderId="5" xfId="2" applyFont="1" applyBorder="1"/>
    <xf numFmtId="0" fontId="1" fillId="0" borderId="0" xfId="2" applyAlignment="1">
      <alignment horizontal="center"/>
    </xf>
    <xf numFmtId="0" fontId="5" fillId="0" borderId="7" xfId="2" applyFont="1" applyBorder="1" applyAlignment="1">
      <alignment horizontal="left"/>
    </xf>
    <xf numFmtId="0" fontId="5" fillId="0" borderId="9" xfId="2" applyFont="1" applyBorder="1" applyAlignment="1">
      <alignment horizontal="left" vertical="center"/>
    </xf>
    <xf numFmtId="0" fontId="7" fillId="0" borderId="0" xfId="2" applyFont="1" applyAlignment="1">
      <alignment horizontal="left"/>
    </xf>
    <xf numFmtId="0" fontId="5" fillId="0" borderId="8" xfId="1" applyFont="1" applyBorder="1" applyAlignment="1">
      <alignment horizontal="right"/>
    </xf>
    <xf numFmtId="0" fontId="3" fillId="0" borderId="2" xfId="2" applyFont="1" applyBorder="1" applyAlignment="1">
      <alignment horizontal="left" vertical="center"/>
    </xf>
    <xf numFmtId="0" fontId="2" fillId="0" borderId="3" xfId="2" applyFont="1" applyBorder="1"/>
    <xf numFmtId="0" fontId="3" fillId="0" borderId="36" xfId="2" applyFont="1" applyBorder="1"/>
    <xf numFmtId="0" fontId="3" fillId="0" borderId="22" xfId="2" applyFont="1" applyBorder="1"/>
    <xf numFmtId="49" fontId="2" fillId="0" borderId="0" xfId="2" applyNumberFormat="1" applyFont="1" applyAlignment="1">
      <alignment horizontal="left"/>
    </xf>
    <xf numFmtId="0" fontId="3" fillId="0" borderId="34" xfId="2" applyFont="1" applyBorder="1" applyAlignment="1">
      <alignment horizontal="right" vertical="center"/>
    </xf>
    <xf numFmtId="0" fontId="3" fillId="0" borderId="8" xfId="2" applyFont="1" applyBorder="1" applyAlignment="1">
      <alignment horizontal="center"/>
    </xf>
    <xf numFmtId="0" fontId="3" fillId="0" borderId="11" xfId="2" applyFont="1" applyBorder="1"/>
    <xf numFmtId="0" fontId="7" fillId="0" borderId="0" xfId="2" applyFont="1"/>
    <xf numFmtId="49" fontId="6" fillId="0" borderId="37" xfId="0" applyNumberFormat="1" applyFont="1" applyBorder="1" applyAlignment="1">
      <alignment vertical="top"/>
    </xf>
    <xf numFmtId="0" fontId="2" fillId="0" borderId="19" xfId="2" applyFont="1" applyBorder="1"/>
    <xf numFmtId="0" fontId="3" fillId="0" borderId="38" xfId="2" applyFont="1" applyBorder="1" applyAlignment="1">
      <alignment horizontal="center" vertical="center"/>
    </xf>
    <xf numFmtId="0" fontId="3" fillId="0" borderId="30" xfId="1" applyFont="1" applyBorder="1" applyAlignment="1">
      <alignment horizontal="left" vertical="center"/>
    </xf>
    <xf numFmtId="0" fontId="3" fillId="0" borderId="33" xfId="1" applyFont="1" applyBorder="1" applyAlignment="1">
      <alignment horizontal="left" vertical="center"/>
    </xf>
    <xf numFmtId="0" fontId="3" fillId="0" borderId="23" xfId="2" applyFont="1" applyBorder="1" applyAlignment="1">
      <alignment vertical="center"/>
    </xf>
    <xf numFmtId="0" fontId="3" fillId="0" borderId="7" xfId="1" applyFont="1" applyBorder="1" applyAlignment="1">
      <alignment vertical="center"/>
    </xf>
    <xf numFmtId="0" fontId="3" fillId="0" borderId="25" xfId="1" applyFont="1" applyBorder="1" applyAlignment="1">
      <alignment vertical="center"/>
    </xf>
    <xf numFmtId="164" fontId="3" fillId="0" borderId="23" xfId="2" applyNumberFormat="1" applyFont="1" applyBorder="1" applyAlignment="1">
      <alignment vertical="center"/>
    </xf>
    <xf numFmtId="0" fontId="3" fillId="0" borderId="30" xfId="2" applyFont="1" applyBorder="1" applyAlignment="1">
      <alignment vertical="center"/>
    </xf>
    <xf numFmtId="0" fontId="3" fillId="0" borderId="33" xfId="1" applyFont="1" applyBorder="1" applyAlignment="1">
      <alignment vertical="center"/>
    </xf>
    <xf numFmtId="0" fontId="5" fillId="0" borderId="16" xfId="1" applyFont="1" applyBorder="1" applyAlignment="1">
      <alignment horizontal="left"/>
    </xf>
    <xf numFmtId="0" fontId="5" fillId="0" borderId="18" xfId="1" applyFont="1" applyBorder="1" applyAlignment="1">
      <alignment horizontal="left"/>
    </xf>
    <xf numFmtId="0" fontId="5" fillId="0" borderId="9" xfId="2" applyFont="1" applyBorder="1" applyAlignment="1">
      <alignment horizontal="left" vertical="center"/>
    </xf>
    <xf numFmtId="0" fontId="5" fillId="0" borderId="28" xfId="1" applyFont="1" applyBorder="1" applyAlignment="1">
      <alignment horizontal="left" vertical="center"/>
    </xf>
    <xf numFmtId="0" fontId="5" fillId="0" borderId="17" xfId="1" applyFont="1" applyBorder="1" applyAlignment="1">
      <alignment horizontal="left" vertical="center"/>
    </xf>
    <xf numFmtId="0" fontId="3" fillId="0" borderId="7" xfId="1" applyFont="1" applyBorder="1" applyAlignment="1">
      <alignment horizontal="right" vertical="center"/>
    </xf>
    <xf numFmtId="0" fontId="3" fillId="0" borderId="25" xfId="1" applyFont="1" applyBorder="1" applyAlignment="1">
      <alignment horizontal="right" vertical="center"/>
    </xf>
    <xf numFmtId="0" fontId="15" fillId="0" borderId="3" xfId="1" applyFont="1" applyBorder="1" applyAlignment="1">
      <alignment horizontal="left"/>
    </xf>
    <xf numFmtId="0" fontId="15" fillId="0" borderId="15" xfId="1" applyFont="1" applyBorder="1" applyAlignment="1">
      <alignment horizontal="left"/>
    </xf>
    <xf numFmtId="0" fontId="15" fillId="0" borderId="22" xfId="1" applyFont="1" applyBorder="1" applyAlignment="1">
      <alignment horizontal="left"/>
    </xf>
    <xf numFmtId="0" fontId="15" fillId="0" borderId="29" xfId="1" applyFont="1" applyBorder="1" applyAlignment="1">
      <alignment horizontal="left"/>
    </xf>
    <xf numFmtId="0" fontId="4" fillId="0" borderId="16" xfId="2" applyFont="1" applyBorder="1" applyAlignment="1">
      <alignment horizontal="center"/>
    </xf>
    <xf numFmtId="0" fontId="4" fillId="0" borderId="3" xfId="2" applyFont="1" applyBorder="1" applyAlignment="1">
      <alignment horizontal="center"/>
    </xf>
    <xf numFmtId="0" fontId="4" fillId="0" borderId="18" xfId="2" applyFont="1" applyBorder="1" applyAlignment="1">
      <alignment horizontal="center"/>
    </xf>
    <xf numFmtId="0" fontId="4" fillId="0" borderId="22" xfId="2" applyFont="1" applyBorder="1" applyAlignment="1">
      <alignment horizontal="center"/>
    </xf>
    <xf numFmtId="0" fontId="12" fillId="0" borderId="15" xfId="1" applyFont="1" applyBorder="1" applyAlignment="1">
      <alignment horizontal="center" vertical="center"/>
    </xf>
    <xf numFmtId="0" fontId="12" fillId="0" borderId="29" xfId="1" applyFont="1" applyBorder="1" applyAlignment="1">
      <alignment horizontal="center" vertical="center"/>
    </xf>
    <xf numFmtId="0" fontId="3" fillId="0" borderId="22" xfId="1" applyFont="1" applyBorder="1" applyAlignment="1">
      <alignment horizontal="left" vertical="center"/>
    </xf>
    <xf numFmtId="0" fontId="3" fillId="0" borderId="29" xfId="1" applyFont="1" applyBorder="1" applyAlignment="1">
      <alignment horizontal="left" vertical="center"/>
    </xf>
    <xf numFmtId="0" fontId="3" fillId="0" borderId="0" xfId="2" applyFont="1" applyAlignment="1">
      <alignment vertical="top" wrapText="1"/>
    </xf>
    <xf numFmtId="0" fontId="3" fillId="0" borderId="19" xfId="1" applyFont="1" applyBorder="1" applyAlignment="1">
      <alignment vertical="top" wrapText="1"/>
    </xf>
    <xf numFmtId="0" fontId="3" fillId="0" borderId="0" xfId="1" applyFont="1" applyAlignment="1">
      <alignment vertical="top" wrapText="1"/>
    </xf>
    <xf numFmtId="0" fontId="3" fillId="0" borderId="11" xfId="1" applyFont="1" applyBorder="1" applyAlignment="1">
      <alignment vertical="top" wrapText="1"/>
    </xf>
    <xf numFmtId="0" fontId="3" fillId="0" borderId="0" xfId="1" applyFont="1" applyAlignment="1">
      <alignment horizontal="left" vertical="center"/>
    </xf>
    <xf numFmtId="0" fontId="3" fillId="0" borderId="19" xfId="1" applyFont="1" applyBorder="1" applyAlignment="1">
      <alignment horizontal="left" vertical="center"/>
    </xf>
    <xf numFmtId="0" fontId="5" fillId="0" borderId="16" xfId="2" applyFont="1" applyBorder="1" applyAlignment="1">
      <alignment horizontal="left" vertical="top"/>
    </xf>
    <xf numFmtId="0" fontId="5" fillId="0" borderId="1" xfId="2" applyFont="1" applyBorder="1" applyAlignment="1">
      <alignment horizontal="left" vertical="top"/>
    </xf>
    <xf numFmtId="0" fontId="5" fillId="0" borderId="18" xfId="2" applyFont="1" applyBorder="1" applyAlignment="1">
      <alignment horizontal="left" vertical="top"/>
    </xf>
    <xf numFmtId="0" fontId="3" fillId="0" borderId="3" xfId="1" applyFont="1" applyBorder="1" applyAlignment="1">
      <alignment horizontal="left" vertical="center"/>
    </xf>
    <xf numFmtId="0" fontId="3" fillId="0" borderId="15" xfId="1" applyFont="1" applyBorder="1" applyAlignment="1">
      <alignment horizontal="left" vertical="center"/>
    </xf>
    <xf numFmtId="0" fontId="9" fillId="0" borderId="19" xfId="1" applyFont="1" applyBorder="1" applyAlignment="1">
      <alignment horizontal="center" textRotation="90" wrapText="1"/>
    </xf>
    <xf numFmtId="0" fontId="9" fillId="0" borderId="19" xfId="1" applyFont="1" applyBorder="1" applyAlignment="1">
      <alignment horizontal="center" textRotation="90"/>
    </xf>
    <xf numFmtId="1" fontId="12" fillId="0" borderId="19" xfId="1" applyNumberFormat="1" applyFont="1" applyBorder="1" applyAlignment="1">
      <alignment horizontal="center" textRotation="90"/>
    </xf>
    <xf numFmtId="0" fontId="5" fillId="0" borderId="27" xfId="2" applyFont="1" applyBorder="1" applyAlignment="1">
      <alignment horizontal="left"/>
    </xf>
    <xf numFmtId="0" fontId="5" fillId="0" borderId="2" xfId="2" applyFont="1" applyBorder="1" applyAlignment="1">
      <alignment horizontal="left"/>
    </xf>
    <xf numFmtId="0" fontId="3" fillId="0" borderId="2" xfId="2" applyFont="1" applyBorder="1" applyAlignment="1">
      <alignment horizontal="center"/>
    </xf>
    <xf numFmtId="0" fontId="11" fillId="0" borderId="0" xfId="2" applyFont="1" applyAlignment="1">
      <alignment horizontal="left" vertical="top" wrapText="1"/>
    </xf>
    <xf numFmtId="0" fontId="8" fillId="0" borderId="0" xfId="2" applyFont="1" applyAlignment="1">
      <alignment horizontal="right" vertical="center"/>
    </xf>
  </cellXfs>
  <cellStyles count="3">
    <cellStyle name="Normal" xfId="0" builtinId="0" customBuiltin="1"/>
    <cellStyle name="Normal 2" xfId="1" xr:uid="{00000000-0005-0000-0000-000001000000}"/>
    <cellStyle name="Normal_IET-SAS-Signals-Report"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95250</xdr:colOff>
      <xdr:row>25</xdr:row>
      <xdr:rowOff>0</xdr:rowOff>
    </xdr:from>
    <xdr:to>
      <xdr:col>3</xdr:col>
      <xdr:colOff>95250</xdr:colOff>
      <xdr:row>25</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647065" y="7543800"/>
          <a:ext cx="0" cy="0"/>
        </a:xfrm>
        <a:prstGeom prst="line">
          <a:avLst/>
        </a:prstGeom>
        <a:noFill/>
        <a:ln w="9525">
          <a:solidFill>
            <a:srgbClr val="000000"/>
          </a:solidFill>
          <a:headEnd/>
          <a:tailEnd/>
        </a:ln>
      </xdr:spPr>
      <xdr:style>
        <a:lnRef idx="1">
          <a:schemeClr val="accent1"/>
        </a:lnRef>
        <a:fillRef idx="0">
          <a:schemeClr val="accent1"/>
        </a:fillRef>
        <a:effectRef idx="0">
          <a:schemeClr val="accent1"/>
        </a:effectRef>
        <a:fontRef idx="minor">
          <a:schemeClr val="tx1"/>
        </a:fontRef>
      </xdr:style>
    </xdr:sp>
    <xdr:clientData/>
  </xdr:twoCellAnchor>
  <xdr:twoCellAnchor>
    <xdr:from>
      <xdr:col>3</xdr:col>
      <xdr:colOff>95250</xdr:colOff>
      <xdr:row>25</xdr:row>
      <xdr:rowOff>0</xdr:rowOff>
    </xdr:from>
    <xdr:to>
      <xdr:col>3</xdr:col>
      <xdr:colOff>95250</xdr:colOff>
      <xdr:row>25</xdr:row>
      <xdr:rowOff>0</xdr:rowOff>
    </xdr:to>
    <xdr:sp macro="" textlink="">
      <xdr:nvSpPr>
        <xdr:cNvPr id="3" name="Line 1">
          <a:extLst>
            <a:ext uri="{FF2B5EF4-FFF2-40B4-BE49-F238E27FC236}">
              <a16:creationId xmlns:a16="http://schemas.microsoft.com/office/drawing/2014/main" id="{00000000-0008-0000-0000-000003000000}"/>
            </a:ext>
          </a:extLst>
        </xdr:cNvPr>
        <xdr:cNvSpPr>
          <a:spLocks noChangeShapeType="1"/>
        </xdr:cNvSpPr>
      </xdr:nvSpPr>
      <xdr:spPr bwMode="auto">
        <a:xfrm>
          <a:off x="647065" y="7543800"/>
          <a:ext cx="0" cy="0"/>
        </a:xfrm>
        <a:prstGeom prst="line">
          <a:avLst/>
        </a:prstGeom>
        <a:noFill/>
        <a:ln w="9525">
          <a:solidFill>
            <a:srgbClr val="000000"/>
          </a:solidFill>
          <a:headEnd/>
          <a:tailEnd/>
        </a:ln>
      </xdr:spPr>
      <xdr:style>
        <a:lnRef idx="1">
          <a:schemeClr val="accent1"/>
        </a:lnRef>
        <a:fillRef idx="0">
          <a:schemeClr val="accent1"/>
        </a:fillRef>
        <a:effectRef idx="0">
          <a:schemeClr val="accent1"/>
        </a:effectRef>
        <a:fontRef idx="minor">
          <a:schemeClr val="tx1"/>
        </a:fontRef>
      </xdr:style>
    </xdr:sp>
    <xdr:clientData/>
  </xdr:twoCellAnchor>
  <xdr:twoCellAnchor editAs="oneCell">
    <xdr:from>
      <xdr:col>14</xdr:col>
      <xdr:colOff>56515</xdr:colOff>
      <xdr:row>36</xdr:row>
      <xdr:rowOff>43180</xdr:rowOff>
    </xdr:from>
    <xdr:to>
      <xdr:col>15</xdr:col>
      <xdr:colOff>798195</xdr:colOff>
      <xdr:row>37</xdr:row>
      <xdr:rowOff>130810</xdr:rowOff>
    </xdr:to>
    <xdr:pic>
      <xdr:nvPicPr>
        <xdr:cNvPr id="4" name="Picture 6" descr="Picture 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7587615" y="10443845"/>
          <a:ext cx="1188720" cy="27114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Y46"/>
  <sheetViews>
    <sheetView tabSelected="1" zoomScale="70" zoomScaleNormal="70" zoomScaleSheetLayoutView="100" zoomScalePageLayoutView="70" workbookViewId="0">
      <selection activeCell="P23" sqref="P23"/>
    </sheetView>
  </sheetViews>
  <sheetFormatPr defaultColWidth="11.42578125" defaultRowHeight="15"/>
  <cols>
    <col min="1" max="1" width="1.7109375" style="70" customWidth="1"/>
    <col min="2" max="2" width="3.85546875" style="42" customWidth="1"/>
    <col min="3" max="3" width="2.7109375" style="42" customWidth="1"/>
    <col min="4" max="4" width="6.85546875" style="82" customWidth="1"/>
    <col min="5" max="5" width="1.7109375" style="82" customWidth="1"/>
    <col min="6" max="6" width="2.42578125" style="82" customWidth="1"/>
    <col min="7" max="7" width="10.7109375" style="82" customWidth="1"/>
    <col min="8" max="8" width="16.7109375" style="70" customWidth="1"/>
    <col min="9" max="9" width="8.7109375" style="70" customWidth="1"/>
    <col min="10" max="10" width="4.7109375" style="70" customWidth="1"/>
    <col min="11" max="11" width="12.7109375" style="70" customWidth="1"/>
    <col min="12" max="12" width="7.7109375" style="70" customWidth="1"/>
    <col min="13" max="13" width="12.7109375" style="70" customWidth="1"/>
    <col min="14" max="14" width="19.7109375" style="70" customWidth="1"/>
    <col min="15" max="15" width="6.7109375" style="70" customWidth="1"/>
    <col min="16" max="16" width="12.7109375" style="70" customWidth="1"/>
    <col min="17" max="17" width="26.7109375" style="70" customWidth="1"/>
    <col min="18" max="18" width="8.7109375" style="70" customWidth="1"/>
    <col min="19" max="19" width="10.7109375" style="70" customWidth="1"/>
    <col min="20" max="20" width="6.7109375" style="70" customWidth="1"/>
    <col min="21" max="21" width="8.7109375" style="70" customWidth="1"/>
    <col min="22" max="22" width="3.5703125" style="70" customWidth="1"/>
    <col min="23" max="23" width="10.28515625" style="70" customWidth="1"/>
    <col min="24" max="24" width="4.42578125" style="70" customWidth="1"/>
    <col min="25" max="25" width="2.7109375" style="70" customWidth="1"/>
    <col min="26" max="16384" width="11.42578125" style="70"/>
  </cols>
  <sheetData>
    <row r="1" spans="2:25" ht="13.5" customHeight="1" thickBot="1">
      <c r="B1" s="139" t="s">
        <v>176</v>
      </c>
      <c r="C1" s="69"/>
      <c r="D1" s="7"/>
      <c r="E1" s="7"/>
      <c r="F1" s="7"/>
      <c r="G1" s="7"/>
      <c r="H1" s="88"/>
      <c r="I1" s="88"/>
      <c r="J1" s="88"/>
      <c r="K1" s="88"/>
      <c r="L1" s="88"/>
      <c r="M1" s="88"/>
      <c r="N1" s="88"/>
      <c r="O1" s="88"/>
      <c r="P1" s="88"/>
      <c r="Q1" s="88"/>
      <c r="R1" s="88"/>
      <c r="S1" s="88"/>
      <c r="T1" s="88"/>
      <c r="U1" s="88"/>
      <c r="V1" s="88"/>
      <c r="W1" s="88"/>
      <c r="X1" s="88"/>
      <c r="Y1" s="78"/>
    </row>
    <row r="2" spans="2:25" ht="33.6" customHeight="1">
      <c r="B2" s="139"/>
      <c r="C2" s="29"/>
      <c r="D2" s="8"/>
      <c r="E2" s="41"/>
      <c r="F2" s="41"/>
      <c r="G2" s="41"/>
      <c r="H2" s="41"/>
      <c r="I2" s="41"/>
      <c r="J2" s="41"/>
      <c r="K2" s="41"/>
      <c r="L2" s="41"/>
      <c r="M2" s="41"/>
      <c r="N2" s="41"/>
      <c r="O2" s="41"/>
      <c r="P2" s="41"/>
      <c r="Q2" s="41"/>
      <c r="R2" s="41"/>
      <c r="S2" s="41"/>
      <c r="T2" s="41"/>
      <c r="U2" s="41"/>
      <c r="V2" s="41"/>
      <c r="W2" s="41"/>
      <c r="X2" s="89"/>
      <c r="Y2" s="76"/>
    </row>
    <row r="3" spans="2:25" ht="30" customHeight="1">
      <c r="B3" s="139"/>
      <c r="C3" s="1"/>
      <c r="D3" s="23"/>
      <c r="E3" s="20"/>
      <c r="F3" s="20"/>
      <c r="G3" s="20"/>
      <c r="H3" s="91"/>
      <c r="I3" s="91"/>
      <c r="J3" s="91"/>
      <c r="K3" s="2"/>
      <c r="L3" s="2"/>
      <c r="M3" s="2"/>
      <c r="N3" s="2"/>
      <c r="O3" s="2"/>
      <c r="P3" s="2"/>
      <c r="Q3" s="2"/>
      <c r="R3" s="11"/>
      <c r="S3" s="11"/>
      <c r="T3" s="11"/>
      <c r="U3" s="11"/>
      <c r="V3" s="11"/>
      <c r="W3" s="11"/>
      <c r="X3" s="5"/>
      <c r="Y3" s="76"/>
    </row>
    <row r="4" spans="2:25" ht="30" customHeight="1">
      <c r="B4" s="139"/>
      <c r="C4" s="6"/>
      <c r="D4" s="23"/>
      <c r="E4" s="20"/>
      <c r="F4" s="20"/>
      <c r="G4" s="20"/>
      <c r="H4" s="91"/>
      <c r="I4" s="91"/>
      <c r="J4" s="91"/>
      <c r="K4" s="2"/>
      <c r="L4" s="2"/>
      <c r="M4" s="2"/>
      <c r="N4" s="2"/>
      <c r="O4" s="2"/>
      <c r="P4" s="2"/>
      <c r="Q4" s="2"/>
      <c r="R4" s="13"/>
      <c r="S4" s="13"/>
      <c r="T4" s="13"/>
      <c r="U4" s="13"/>
      <c r="V4" s="13"/>
      <c r="W4" s="13"/>
      <c r="X4" s="32"/>
      <c r="Y4" s="97"/>
    </row>
    <row r="5" spans="2:25" ht="26.25" customHeight="1">
      <c r="B5" s="139"/>
      <c r="C5" s="1"/>
      <c r="D5" s="23"/>
      <c r="E5" s="20"/>
      <c r="F5" s="20"/>
      <c r="G5" s="20"/>
      <c r="H5" s="91"/>
      <c r="I5" s="91"/>
      <c r="J5" s="91"/>
      <c r="K5" s="2"/>
      <c r="L5" s="2"/>
      <c r="M5" s="2"/>
      <c r="N5" s="2"/>
      <c r="O5" s="2"/>
      <c r="P5" s="2"/>
      <c r="Q5" s="2"/>
      <c r="R5" s="13"/>
      <c r="S5" s="13"/>
      <c r="T5" s="13"/>
      <c r="U5" s="13"/>
      <c r="V5" s="13"/>
      <c r="W5" s="13"/>
      <c r="X5" s="32"/>
      <c r="Y5" s="97"/>
    </row>
    <row r="6" spans="2:25" ht="23.1" customHeight="1">
      <c r="B6" s="139"/>
      <c r="C6" s="1"/>
      <c r="D6" s="23"/>
      <c r="E6" s="20"/>
      <c r="F6" s="20"/>
      <c r="G6" s="20"/>
      <c r="H6" s="58"/>
      <c r="I6" s="47"/>
      <c r="J6" s="47"/>
      <c r="K6" s="2"/>
      <c r="L6" s="2"/>
      <c r="M6" s="2"/>
      <c r="N6" s="2"/>
      <c r="O6" s="2"/>
      <c r="P6" s="2"/>
      <c r="Q6" s="2"/>
      <c r="R6" s="13"/>
      <c r="S6" s="13"/>
      <c r="T6" s="13"/>
      <c r="U6" s="13"/>
      <c r="V6" s="13"/>
      <c r="W6" s="13"/>
      <c r="X6" s="32"/>
      <c r="Y6" s="97"/>
    </row>
    <row r="7" spans="2:25" ht="26.25" customHeight="1">
      <c r="B7" s="62">
        <f ca="1">YEAR(NOW())</f>
        <v>2024</v>
      </c>
      <c r="C7" s="1"/>
      <c r="D7" s="23"/>
      <c r="E7" s="20"/>
      <c r="F7" s="20"/>
      <c r="G7" s="20"/>
      <c r="H7" s="47"/>
      <c r="I7" s="47"/>
      <c r="J7" s="47"/>
      <c r="K7" s="2"/>
      <c r="L7" s="2"/>
      <c r="M7" s="2"/>
      <c r="N7" s="2"/>
      <c r="O7" s="2"/>
      <c r="P7" s="2"/>
      <c r="Q7" s="2"/>
      <c r="R7" s="13"/>
      <c r="S7" s="13"/>
      <c r="T7" s="13"/>
      <c r="U7" s="13"/>
      <c r="V7" s="13"/>
      <c r="W7" s="13"/>
      <c r="X7" s="32"/>
      <c r="Y7" s="97"/>
    </row>
    <row r="8" spans="2:25" ht="18.600000000000001" customHeight="1">
      <c r="B8" s="56" t="s">
        <v>85</v>
      </c>
      <c r="C8" s="48"/>
      <c r="D8" s="23"/>
      <c r="E8" s="20"/>
      <c r="F8" s="20"/>
      <c r="G8" s="20"/>
      <c r="H8" s="47"/>
      <c r="I8" s="47"/>
      <c r="J8" s="47"/>
      <c r="K8" s="2"/>
      <c r="L8" s="2"/>
      <c r="M8" s="2"/>
      <c r="N8" s="2"/>
      <c r="O8" s="2"/>
      <c r="P8" s="2"/>
      <c r="Q8" s="2"/>
      <c r="R8" s="13"/>
      <c r="S8" s="13"/>
      <c r="T8" s="13"/>
      <c r="U8" s="13"/>
      <c r="V8" s="13"/>
      <c r="W8" s="13"/>
      <c r="X8" s="32"/>
      <c r="Y8" s="97"/>
    </row>
    <row r="9" spans="2:25" ht="23.1" customHeight="1">
      <c r="B9" s="137" t="s">
        <v>155</v>
      </c>
      <c r="C9" s="48"/>
      <c r="D9" s="23"/>
      <c r="E9" s="20"/>
      <c r="F9" s="20"/>
      <c r="G9" s="20"/>
      <c r="H9" s="61" t="s">
        <v>55</v>
      </c>
      <c r="I9" s="61" t="s">
        <v>89</v>
      </c>
      <c r="J9" s="39" t="s">
        <v>20</v>
      </c>
      <c r="K9" s="17"/>
      <c r="L9" s="17"/>
      <c r="M9" s="17"/>
      <c r="N9" s="17"/>
      <c r="O9" s="17"/>
      <c r="P9" s="17"/>
      <c r="Q9" s="13"/>
      <c r="R9" s="13"/>
      <c r="S9" s="13"/>
      <c r="T9" s="13"/>
      <c r="U9" s="13"/>
      <c r="V9" s="13"/>
      <c r="W9" s="13"/>
      <c r="X9" s="32"/>
      <c r="Y9" s="97"/>
    </row>
    <row r="10" spans="2:25" ht="23.1" customHeight="1">
      <c r="B10" s="138"/>
      <c r="C10" s="48"/>
      <c r="D10" s="23"/>
      <c r="E10" s="20"/>
      <c r="F10" s="20"/>
      <c r="G10" s="20"/>
      <c r="H10" s="17"/>
      <c r="I10" s="17"/>
      <c r="J10" s="39" t="s">
        <v>158</v>
      </c>
      <c r="K10" s="17"/>
      <c r="L10" s="17"/>
      <c r="M10" s="17"/>
      <c r="N10" s="17"/>
      <c r="O10" s="17"/>
      <c r="P10" s="17"/>
      <c r="Q10" s="17"/>
      <c r="R10" s="13"/>
      <c r="S10" s="13"/>
      <c r="T10" s="13"/>
      <c r="U10" s="13"/>
      <c r="V10" s="13"/>
      <c r="W10" s="13"/>
      <c r="X10" s="32"/>
      <c r="Y10" s="97"/>
    </row>
    <row r="11" spans="2:25" ht="23.1" customHeight="1">
      <c r="B11" s="138"/>
      <c r="C11" s="48"/>
      <c r="D11" s="23"/>
      <c r="E11" s="20"/>
      <c r="F11" s="20"/>
      <c r="G11" s="20"/>
      <c r="H11" s="85"/>
      <c r="I11" s="38"/>
      <c r="J11" s="38"/>
      <c r="K11" s="38"/>
      <c r="L11" s="38"/>
      <c r="M11" s="38"/>
      <c r="N11" s="38"/>
      <c r="O11" s="38"/>
      <c r="P11" s="38"/>
      <c r="Q11" s="38"/>
      <c r="R11" s="13"/>
      <c r="S11" s="13"/>
      <c r="T11" s="13"/>
      <c r="U11" s="13"/>
      <c r="V11" s="13"/>
      <c r="W11" s="13"/>
      <c r="X11" s="32"/>
      <c r="Y11" s="97"/>
    </row>
    <row r="12" spans="2:25" ht="23.1" customHeight="1">
      <c r="B12" s="138"/>
      <c r="C12" s="48"/>
      <c r="D12" s="23"/>
      <c r="E12" s="20"/>
      <c r="F12" s="20"/>
      <c r="G12" s="20"/>
      <c r="H12" s="61" t="s">
        <v>129</v>
      </c>
      <c r="I12" s="61" t="s">
        <v>89</v>
      </c>
      <c r="J12" s="39"/>
      <c r="K12" s="17"/>
      <c r="L12" s="17"/>
      <c r="M12" s="17"/>
      <c r="N12" s="17"/>
      <c r="O12" s="17"/>
      <c r="P12" s="17"/>
      <c r="Q12" s="13"/>
      <c r="R12" s="13"/>
      <c r="S12" s="13"/>
      <c r="T12" s="13"/>
      <c r="U12" s="13"/>
      <c r="V12" s="13"/>
      <c r="W12" s="13"/>
      <c r="X12" s="32"/>
      <c r="Y12" s="97"/>
    </row>
    <row r="13" spans="2:25" ht="23.1" customHeight="1">
      <c r="B13" s="138"/>
      <c r="C13" s="48"/>
      <c r="D13" s="23"/>
      <c r="E13" s="20"/>
      <c r="F13" s="20"/>
      <c r="G13" s="20"/>
      <c r="H13" s="17"/>
      <c r="I13" s="17"/>
      <c r="J13" s="39"/>
      <c r="K13" s="17"/>
      <c r="L13" s="17"/>
      <c r="M13" s="17"/>
      <c r="N13" s="17"/>
      <c r="O13" s="17"/>
      <c r="P13" s="17"/>
      <c r="Q13" s="17"/>
      <c r="R13" s="13"/>
      <c r="S13" s="13"/>
      <c r="T13" s="13"/>
      <c r="U13" s="13"/>
      <c r="V13" s="13"/>
      <c r="W13" s="13"/>
      <c r="X13" s="32"/>
      <c r="Y13" s="97"/>
    </row>
    <row r="14" spans="2:25" ht="23.1" customHeight="1">
      <c r="B14" s="138"/>
      <c r="C14" s="48"/>
      <c r="D14" s="23"/>
      <c r="E14" s="20"/>
      <c r="F14" s="20"/>
      <c r="G14" s="20"/>
      <c r="H14" s="85"/>
      <c r="I14" s="38"/>
      <c r="J14" s="38"/>
      <c r="K14" s="38"/>
      <c r="L14" s="38"/>
      <c r="M14" s="38"/>
      <c r="N14" s="38"/>
      <c r="O14" s="38"/>
      <c r="P14" s="38"/>
      <c r="Q14" s="38"/>
      <c r="R14" s="13"/>
      <c r="S14" s="13"/>
      <c r="T14" s="13"/>
      <c r="U14" s="13"/>
      <c r="V14" s="13"/>
      <c r="W14" s="13"/>
      <c r="X14" s="32"/>
      <c r="Y14" s="97"/>
    </row>
    <row r="15" spans="2:25" ht="23.1" customHeight="1">
      <c r="B15" s="138"/>
      <c r="C15" s="48"/>
      <c r="D15" s="23"/>
      <c r="E15" s="20"/>
      <c r="F15" s="20"/>
      <c r="G15" s="20"/>
      <c r="H15" s="61" t="s">
        <v>130</v>
      </c>
      <c r="I15" s="61" t="s">
        <v>89</v>
      </c>
      <c r="J15" s="39" t="s">
        <v>97</v>
      </c>
      <c r="K15" s="17"/>
      <c r="L15" s="17"/>
      <c r="M15" s="17"/>
      <c r="N15" s="17"/>
      <c r="O15" s="17"/>
      <c r="P15" s="17"/>
      <c r="Q15" s="13"/>
      <c r="R15" s="13"/>
      <c r="S15" s="13"/>
      <c r="T15" s="13"/>
      <c r="U15" s="13"/>
      <c r="V15" s="13"/>
      <c r="W15" s="13"/>
      <c r="X15" s="32"/>
      <c r="Y15" s="97"/>
    </row>
    <row r="16" spans="2:25" ht="23.1" customHeight="1">
      <c r="B16" s="138"/>
      <c r="C16" s="48"/>
      <c r="D16" s="23"/>
      <c r="E16" s="20"/>
      <c r="F16" s="20"/>
      <c r="G16" s="20"/>
      <c r="H16" s="17"/>
      <c r="I16" s="17"/>
      <c r="J16" s="39" t="s">
        <v>158</v>
      </c>
      <c r="K16" s="17"/>
      <c r="L16" s="17"/>
      <c r="M16" s="17"/>
      <c r="N16" s="17"/>
      <c r="O16" s="17"/>
      <c r="P16" s="17"/>
      <c r="Q16" s="17"/>
      <c r="R16" s="13"/>
      <c r="S16" s="13"/>
      <c r="T16" s="13"/>
      <c r="U16" s="13"/>
      <c r="V16" s="13"/>
      <c r="W16" s="13"/>
      <c r="X16" s="32"/>
      <c r="Y16" s="97"/>
    </row>
    <row r="17" spans="2:25" ht="23.1" customHeight="1">
      <c r="B17" s="138"/>
      <c r="C17" s="48"/>
      <c r="D17" s="23"/>
      <c r="E17" s="20"/>
      <c r="F17" s="20"/>
      <c r="G17" s="20"/>
      <c r="H17" s="85"/>
      <c r="I17" s="38"/>
      <c r="J17" s="38"/>
      <c r="K17" s="38"/>
      <c r="L17" s="38"/>
      <c r="M17" s="38"/>
      <c r="N17" s="38"/>
      <c r="O17" s="38"/>
      <c r="P17" s="38"/>
      <c r="Q17" s="38"/>
      <c r="R17" s="13"/>
      <c r="S17" s="13"/>
      <c r="T17" s="13"/>
      <c r="U17" s="13"/>
      <c r="V17" s="13"/>
      <c r="W17" s="13"/>
      <c r="X17" s="32"/>
      <c r="Y17" s="97"/>
    </row>
    <row r="18" spans="2:25" ht="23.1" customHeight="1">
      <c r="B18" s="138"/>
      <c r="C18" s="48"/>
      <c r="D18" s="23"/>
      <c r="E18" s="20"/>
      <c r="F18" s="20"/>
      <c r="G18" s="20"/>
      <c r="H18" s="61" t="s">
        <v>113</v>
      </c>
      <c r="I18" s="61" t="s">
        <v>89</v>
      </c>
      <c r="J18" s="39" t="s">
        <v>45</v>
      </c>
      <c r="K18" s="17"/>
      <c r="L18" s="17"/>
      <c r="M18" s="17"/>
      <c r="N18" s="17"/>
      <c r="O18" s="17"/>
      <c r="P18" s="17"/>
      <c r="Q18" s="13"/>
      <c r="R18" s="13"/>
      <c r="S18" s="13"/>
      <c r="T18" s="13"/>
      <c r="U18" s="13"/>
      <c r="V18" s="13"/>
      <c r="W18" s="13"/>
      <c r="X18" s="32"/>
      <c r="Y18" s="97"/>
    </row>
    <row r="19" spans="2:25" ht="23.1" customHeight="1">
      <c r="B19" s="138"/>
      <c r="C19" s="48"/>
      <c r="D19" s="23"/>
      <c r="E19" s="20"/>
      <c r="F19" s="20"/>
      <c r="G19" s="20"/>
      <c r="H19" s="17"/>
      <c r="I19" s="17"/>
      <c r="J19" s="39"/>
      <c r="K19" s="17"/>
      <c r="L19" s="17"/>
      <c r="M19" s="17"/>
      <c r="N19" s="17"/>
      <c r="O19" s="17"/>
      <c r="P19" s="17"/>
      <c r="Q19" s="17"/>
      <c r="R19" s="13"/>
      <c r="S19" s="13"/>
      <c r="T19" s="13"/>
      <c r="U19" s="13"/>
      <c r="V19" s="13"/>
      <c r="W19" s="13"/>
      <c r="X19" s="32"/>
      <c r="Y19" s="97"/>
    </row>
    <row r="20" spans="2:25" ht="23.1" customHeight="1">
      <c r="B20" s="138"/>
      <c r="C20" s="48"/>
      <c r="D20" s="23"/>
      <c r="E20" s="20"/>
      <c r="F20" s="20"/>
      <c r="G20" s="20"/>
      <c r="H20" s="85"/>
      <c r="I20" s="38"/>
      <c r="J20" s="38"/>
      <c r="K20" s="38"/>
      <c r="L20" s="38"/>
      <c r="M20" s="38"/>
      <c r="N20" s="38"/>
      <c r="O20" s="38"/>
      <c r="P20" s="38"/>
      <c r="Q20" s="38"/>
      <c r="R20" s="13"/>
      <c r="S20" s="13"/>
      <c r="T20" s="13"/>
      <c r="U20" s="13"/>
      <c r="V20" s="13"/>
      <c r="W20" s="13"/>
      <c r="X20" s="32"/>
      <c r="Y20" s="97"/>
    </row>
    <row r="21" spans="2:25" ht="23.1" customHeight="1">
      <c r="B21" s="138"/>
      <c r="C21" s="48"/>
      <c r="D21" s="23"/>
      <c r="E21" s="20"/>
      <c r="F21" s="20"/>
      <c r="G21" s="20"/>
      <c r="H21" s="61" t="s">
        <v>78</v>
      </c>
      <c r="I21" s="61" t="s">
        <v>89</v>
      </c>
      <c r="J21" s="39" t="s">
        <v>188</v>
      </c>
      <c r="K21" s="17"/>
      <c r="L21" s="17"/>
      <c r="M21" s="17"/>
      <c r="N21" s="17"/>
      <c r="O21" s="17"/>
      <c r="P21" s="17"/>
      <c r="Q21" s="13"/>
      <c r="R21" s="13"/>
      <c r="S21" s="13"/>
      <c r="T21" s="13"/>
      <c r="U21" s="13"/>
      <c r="V21" s="13"/>
      <c r="W21" s="13"/>
      <c r="X21" s="32"/>
      <c r="Y21" s="97"/>
    </row>
    <row r="22" spans="2:25" ht="23.1" customHeight="1">
      <c r="B22" s="138"/>
      <c r="C22" s="48"/>
      <c r="D22" s="23"/>
      <c r="E22" s="20"/>
      <c r="F22" s="20"/>
      <c r="G22" s="20"/>
      <c r="H22" s="17"/>
      <c r="I22" s="17"/>
      <c r="J22" s="39" t="s">
        <v>64</v>
      </c>
      <c r="K22" s="17"/>
      <c r="L22" s="17"/>
      <c r="M22" s="17"/>
      <c r="N22" s="17"/>
      <c r="O22" s="17"/>
      <c r="P22" s="17"/>
      <c r="Q22" s="17"/>
      <c r="R22" s="13"/>
      <c r="S22" s="13"/>
      <c r="T22" s="13"/>
      <c r="U22" s="13"/>
      <c r="V22" s="13"/>
      <c r="W22" s="13"/>
      <c r="X22" s="32"/>
      <c r="Y22" s="97"/>
    </row>
    <row r="23" spans="2:25" ht="23.1" customHeight="1">
      <c r="B23" s="138"/>
      <c r="C23" s="48"/>
      <c r="D23" s="23"/>
      <c r="E23" s="20"/>
      <c r="F23" s="20"/>
      <c r="G23" s="20"/>
      <c r="H23" s="38"/>
      <c r="I23" s="38"/>
      <c r="J23" s="38"/>
      <c r="K23" s="17"/>
      <c r="L23" s="17"/>
      <c r="M23" s="17"/>
      <c r="N23" s="17"/>
      <c r="O23" s="17"/>
      <c r="P23" s="17"/>
      <c r="Q23" s="17"/>
      <c r="R23" s="13"/>
      <c r="S23" s="13"/>
      <c r="T23" s="13"/>
      <c r="U23" s="13"/>
      <c r="V23" s="13"/>
      <c r="W23" s="13"/>
      <c r="X23" s="32"/>
      <c r="Y23" s="97"/>
    </row>
    <row r="24" spans="2:25" ht="23.1" customHeight="1">
      <c r="B24" s="138"/>
      <c r="C24" s="48"/>
      <c r="D24" s="23"/>
      <c r="E24" s="20"/>
      <c r="F24" s="20"/>
      <c r="G24" s="20"/>
      <c r="H24" s="38"/>
      <c r="I24" s="38"/>
      <c r="J24" s="38"/>
      <c r="K24" s="17"/>
      <c r="L24" s="17"/>
      <c r="M24" s="17"/>
      <c r="N24" s="17"/>
      <c r="O24" s="17"/>
      <c r="P24" s="17"/>
      <c r="Q24" s="17"/>
      <c r="R24" s="13"/>
      <c r="S24" s="13"/>
      <c r="T24" s="13"/>
      <c r="U24" s="13"/>
      <c r="V24" s="13"/>
      <c r="W24" s="13"/>
      <c r="X24" s="32"/>
      <c r="Y24" s="97"/>
    </row>
    <row r="25" spans="2:25" ht="23.1" customHeight="1">
      <c r="B25" s="138"/>
      <c r="C25" s="48"/>
      <c r="D25" s="23"/>
      <c r="E25" s="20"/>
      <c r="F25" s="20"/>
      <c r="G25" s="20"/>
      <c r="H25" s="38"/>
      <c r="I25" s="38"/>
      <c r="J25" s="38"/>
      <c r="K25" s="45"/>
      <c r="L25" s="45"/>
      <c r="M25" s="45"/>
      <c r="N25" s="45"/>
      <c r="O25" s="45"/>
      <c r="P25" s="45"/>
      <c r="Q25" s="45"/>
      <c r="R25" s="13"/>
      <c r="S25" s="13"/>
      <c r="T25" s="13"/>
      <c r="U25" s="13"/>
      <c r="V25" s="13"/>
      <c r="W25" s="13"/>
      <c r="X25" s="32"/>
      <c r="Y25" s="97"/>
    </row>
    <row r="26" spans="2:25" ht="23.1" customHeight="1">
      <c r="B26" s="138"/>
      <c r="C26" s="48"/>
      <c r="D26" s="23"/>
      <c r="E26" s="20"/>
      <c r="F26" s="20"/>
      <c r="G26" s="20"/>
      <c r="H26" s="38"/>
      <c r="I26" s="38"/>
      <c r="J26" s="38"/>
      <c r="K26" s="45"/>
      <c r="L26" s="45"/>
      <c r="M26" s="45"/>
      <c r="N26" s="45"/>
      <c r="O26" s="45"/>
      <c r="P26" s="45"/>
      <c r="Q26" s="95"/>
      <c r="R26" s="13"/>
      <c r="S26" s="13"/>
      <c r="T26" s="13"/>
      <c r="U26" s="13"/>
      <c r="V26" s="13"/>
      <c r="W26" s="13"/>
      <c r="X26" s="32"/>
      <c r="Y26" s="97"/>
    </row>
    <row r="27" spans="2:25" ht="23.1" customHeight="1">
      <c r="B27" s="138"/>
      <c r="C27" s="48"/>
      <c r="D27" s="23"/>
      <c r="E27" s="20"/>
      <c r="F27" s="20"/>
      <c r="G27" s="20"/>
      <c r="H27" s="38"/>
      <c r="I27" s="38"/>
      <c r="J27" s="38"/>
      <c r="K27" s="45"/>
      <c r="L27" s="45"/>
      <c r="M27" s="45"/>
      <c r="N27" s="45"/>
      <c r="O27" s="45"/>
      <c r="P27" s="45"/>
      <c r="Q27" s="45"/>
      <c r="R27" s="13"/>
      <c r="S27" s="13"/>
      <c r="T27" s="13"/>
      <c r="U27" s="13"/>
      <c r="V27" s="13"/>
      <c r="W27" s="13"/>
      <c r="X27" s="32"/>
      <c r="Y27" s="97"/>
    </row>
    <row r="28" spans="2:25" s="30" customFormat="1" ht="23.1" customHeight="1">
      <c r="B28" s="138"/>
      <c r="C28" s="48"/>
      <c r="D28" s="49"/>
      <c r="E28" s="51"/>
      <c r="F28" s="51"/>
      <c r="G28" s="51"/>
      <c r="H28" s="85"/>
      <c r="I28" s="85"/>
      <c r="J28" s="85"/>
      <c r="K28" s="95"/>
      <c r="L28" s="95"/>
      <c r="M28" s="95"/>
      <c r="N28" s="95"/>
      <c r="O28" s="95"/>
      <c r="P28" s="95"/>
      <c r="Q28" s="95"/>
      <c r="R28" s="60"/>
      <c r="S28" s="60"/>
      <c r="T28" s="60"/>
      <c r="U28" s="60"/>
      <c r="V28" s="60"/>
      <c r="W28" s="60"/>
      <c r="X28" s="81"/>
      <c r="Y28" s="52"/>
    </row>
    <row r="29" spans="2:25" s="30" customFormat="1" ht="23.1" customHeight="1">
      <c r="B29" s="138"/>
      <c r="C29" s="48"/>
      <c r="D29" s="49"/>
      <c r="E29" s="51"/>
      <c r="F29" s="51"/>
      <c r="G29" s="51"/>
      <c r="H29" s="85"/>
      <c r="I29" s="85"/>
      <c r="J29" s="85"/>
      <c r="K29" s="95"/>
      <c r="L29" s="95"/>
      <c r="M29" s="95"/>
      <c r="N29" s="95"/>
      <c r="O29" s="95"/>
      <c r="P29" s="95"/>
      <c r="Q29" s="95"/>
      <c r="R29" s="60"/>
      <c r="S29" s="60"/>
      <c r="T29" s="60"/>
      <c r="U29" s="60"/>
      <c r="V29" s="60"/>
      <c r="W29" s="60"/>
      <c r="X29" s="81"/>
      <c r="Y29" s="52"/>
    </row>
    <row r="30" spans="2:25" s="30" customFormat="1" ht="23.1" customHeight="1">
      <c r="B30" s="138"/>
      <c r="C30" s="48"/>
      <c r="D30" s="49"/>
      <c r="E30" s="51"/>
      <c r="F30" s="51"/>
      <c r="G30" s="51"/>
      <c r="H30" s="85"/>
      <c r="I30" s="85"/>
      <c r="J30" s="85"/>
      <c r="K30" s="95"/>
      <c r="L30" s="95"/>
      <c r="M30" s="95"/>
      <c r="N30" s="95"/>
      <c r="O30" s="95"/>
      <c r="P30" s="95"/>
      <c r="Q30" s="95"/>
      <c r="R30" s="60"/>
      <c r="S30" s="60"/>
      <c r="T30" s="60"/>
      <c r="U30" s="60"/>
      <c r="V30" s="60"/>
      <c r="W30" s="21"/>
      <c r="X30" s="81"/>
      <c r="Y30" s="52"/>
    </row>
    <row r="31" spans="2:25" s="30" customFormat="1" ht="23.1" customHeight="1">
      <c r="B31" s="138"/>
      <c r="C31" s="48"/>
      <c r="D31" s="49"/>
      <c r="E31" s="51"/>
      <c r="F31" s="51"/>
      <c r="G31" s="51"/>
      <c r="H31" s="85"/>
      <c r="I31" s="85"/>
      <c r="J31" s="85"/>
      <c r="K31" s="95"/>
      <c r="L31" s="95"/>
      <c r="M31" s="95"/>
      <c r="N31" s="95"/>
      <c r="O31" s="95"/>
      <c r="P31" s="95"/>
      <c r="Q31" s="95"/>
      <c r="R31" s="60"/>
      <c r="S31" s="60"/>
      <c r="T31" s="60"/>
      <c r="U31" s="60"/>
      <c r="V31" s="60"/>
      <c r="W31" s="60"/>
      <c r="X31" s="81"/>
      <c r="Y31" s="52"/>
    </row>
    <row r="32" spans="2:25" s="30" customFormat="1" ht="23.1" customHeight="1">
      <c r="B32" s="138"/>
      <c r="C32" s="48"/>
      <c r="D32" s="49"/>
      <c r="E32" s="51"/>
      <c r="F32" s="51"/>
      <c r="G32" s="51"/>
      <c r="H32" s="85"/>
      <c r="I32" s="85"/>
      <c r="J32" s="85"/>
      <c r="K32" s="95"/>
      <c r="L32" s="95"/>
      <c r="M32" s="95"/>
      <c r="N32" s="95"/>
      <c r="O32" s="95"/>
      <c r="P32" s="95"/>
      <c r="Q32" s="95"/>
      <c r="R32" s="60"/>
      <c r="S32" s="60"/>
      <c r="T32" s="60"/>
      <c r="U32" s="60"/>
      <c r="V32" s="60"/>
      <c r="W32" s="60"/>
      <c r="X32" s="81"/>
      <c r="Y32" s="52"/>
    </row>
    <row r="33" spans="2:25" s="30" customFormat="1" ht="19.899999999999999" customHeight="1" thickBot="1">
      <c r="B33" s="138"/>
      <c r="C33" s="48"/>
      <c r="D33" s="49"/>
      <c r="E33" s="51"/>
      <c r="F33" s="51"/>
      <c r="G33" s="51"/>
      <c r="H33" s="60"/>
      <c r="I33" s="60"/>
      <c r="J33" s="60"/>
      <c r="K33" s="60"/>
      <c r="L33" s="60"/>
      <c r="M33" s="60"/>
      <c r="N33" s="60"/>
      <c r="O33" s="90"/>
      <c r="P33" s="60"/>
      <c r="Q33" s="60"/>
      <c r="R33" s="60"/>
      <c r="S33" s="60"/>
      <c r="T33" s="60"/>
      <c r="U33" s="60"/>
      <c r="V33" s="60"/>
      <c r="W33" s="60"/>
      <c r="X33" s="81"/>
      <c r="Y33" s="52"/>
    </row>
    <row r="34" spans="2:25" s="30" customFormat="1" ht="14.45" customHeight="1">
      <c r="B34" s="138"/>
      <c r="C34" s="48"/>
      <c r="D34" s="140" t="s">
        <v>38</v>
      </c>
      <c r="E34" s="141"/>
      <c r="F34" s="142" t="s">
        <v>158</v>
      </c>
      <c r="G34" s="142"/>
      <c r="H34" s="64" t="s">
        <v>27</v>
      </c>
      <c r="I34" s="87"/>
      <c r="J34" s="67"/>
      <c r="K34" s="54"/>
      <c r="L34" s="55" t="s">
        <v>94</v>
      </c>
      <c r="M34" s="3" t="s">
        <v>63</v>
      </c>
      <c r="N34" s="92" t="s">
        <v>10</v>
      </c>
      <c r="O34" s="71" t="s">
        <v>78</v>
      </c>
      <c r="P34" s="105" t="str">
        <f>IF(Equipment2 &lt;&gt; "", Equipment2, "")</f>
        <v/>
      </c>
      <c r="Q34" s="106"/>
      <c r="R34" s="46" t="s">
        <v>104</v>
      </c>
      <c r="S34" s="99" t="s">
        <v>36</v>
      </c>
      <c r="T34" s="100"/>
      <c r="U34" s="18" t="s">
        <v>110</v>
      </c>
      <c r="V34" s="65"/>
      <c r="W34" s="65"/>
      <c r="X34" s="63" t="s">
        <v>158</v>
      </c>
      <c r="Y34" s="52"/>
    </row>
    <row r="35" spans="2:25" s="30" customFormat="1" ht="14.45" customHeight="1">
      <c r="B35" s="138"/>
      <c r="C35" s="48"/>
      <c r="D35" s="25" t="s">
        <v>121</v>
      </c>
      <c r="E35" s="27"/>
      <c r="F35" s="101" t="s">
        <v>132</v>
      </c>
      <c r="G35" s="102"/>
      <c r="H35" s="103"/>
      <c r="I35" s="104" t="s">
        <v>181</v>
      </c>
      <c r="J35" s="103"/>
      <c r="K35" s="31" t="s">
        <v>103</v>
      </c>
      <c r="L35" s="22" t="s">
        <v>90</v>
      </c>
      <c r="M35" s="36" t="s">
        <v>63</v>
      </c>
      <c r="N35" s="35" t="s">
        <v>10</v>
      </c>
      <c r="O35" s="71"/>
      <c r="P35" s="126" t="str">
        <f>IF(ProjectTitle1 &lt;&gt; "", ProjectTitle1, "")</f>
        <v>ESQUEMA CONSTRUCTIVO Y FUNCIONAL</v>
      </c>
      <c r="Q35" s="127"/>
      <c r="R35" s="72"/>
      <c r="S35" s="86" t="s">
        <v>1</v>
      </c>
      <c r="T35" s="57" t="s">
        <v>172</v>
      </c>
      <c r="U35" s="26"/>
      <c r="V35" s="73"/>
      <c r="W35" s="73"/>
      <c r="X35" s="68" t="s">
        <v>158</v>
      </c>
      <c r="Y35" s="52"/>
    </row>
    <row r="36" spans="2:25" s="30" customFormat="1" ht="14.45" customHeight="1">
      <c r="B36" s="138"/>
      <c r="C36" s="48"/>
      <c r="D36" s="25" t="s">
        <v>139</v>
      </c>
      <c r="E36" s="27"/>
      <c r="F36" s="101" t="s">
        <v>182</v>
      </c>
      <c r="G36" s="102"/>
      <c r="H36" s="103"/>
      <c r="I36" s="104" t="s">
        <v>154</v>
      </c>
      <c r="J36" s="103"/>
      <c r="K36" s="31" t="s">
        <v>158</v>
      </c>
      <c r="L36" s="132" t="s">
        <v>46</v>
      </c>
      <c r="M36" s="135" t="str">
        <f>IF(Customer1&lt;&gt; "", Customer1, "")</f>
        <v>HIDRELCO</v>
      </c>
      <c r="N36" s="136"/>
      <c r="O36" s="71"/>
      <c r="P36" s="128"/>
      <c r="Q36" s="129"/>
      <c r="R36" s="80" t="s">
        <v>149</v>
      </c>
      <c r="S36" s="112"/>
      <c r="T36" s="113"/>
      <c r="U36" s="28" t="s">
        <v>68</v>
      </c>
      <c r="V36" s="79" t="s">
        <v>121</v>
      </c>
      <c r="W36" s="14" t="s">
        <v>86</v>
      </c>
      <c r="X36" s="44" t="s">
        <v>100</v>
      </c>
      <c r="Y36" s="52"/>
    </row>
    <row r="37" spans="2:25" s="30" customFormat="1" ht="14.45" customHeight="1">
      <c r="B37" s="138"/>
      <c r="C37" s="48"/>
      <c r="D37" s="25" t="s">
        <v>158</v>
      </c>
      <c r="E37" s="27"/>
      <c r="F37" s="101" t="s">
        <v>158</v>
      </c>
      <c r="G37" s="102"/>
      <c r="H37" s="103"/>
      <c r="I37" s="104" t="s">
        <v>158</v>
      </c>
      <c r="J37" s="103"/>
      <c r="K37" s="31" t="s">
        <v>158</v>
      </c>
      <c r="L37" s="133"/>
      <c r="M37" s="130" t="str">
        <f>IF(Plant1 &lt;&gt; "", Plant1, "")</f>
        <v>E.T. ITAEMBE GUAZU 33/13,2 kV</v>
      </c>
      <c r="N37" s="131"/>
      <c r="O37" s="118"/>
      <c r="P37" s="119"/>
      <c r="Q37" s="122"/>
      <c r="R37" s="107" t="s">
        <v>14</v>
      </c>
      <c r="S37" s="114" t="s">
        <v>8</v>
      </c>
      <c r="T37" s="114"/>
      <c r="U37" s="114"/>
      <c r="V37" s="115"/>
      <c r="W37" s="83" t="s">
        <v>53</v>
      </c>
      <c r="X37" s="33">
        <v>1</v>
      </c>
      <c r="Y37" s="52"/>
    </row>
    <row r="38" spans="2:25" s="30" customFormat="1" ht="14.45" customHeight="1" thickBot="1">
      <c r="B38" s="138"/>
      <c r="C38" s="48"/>
      <c r="D38" s="4" t="s">
        <v>68</v>
      </c>
      <c r="E38" s="40"/>
      <c r="F38" s="109" t="s">
        <v>80</v>
      </c>
      <c r="G38" s="110"/>
      <c r="H38" s="111"/>
      <c r="I38" s="109" t="s">
        <v>35</v>
      </c>
      <c r="J38" s="111"/>
      <c r="K38" s="84" t="s">
        <v>87</v>
      </c>
      <c r="L38" s="134"/>
      <c r="M38" s="124" t="str">
        <f>IF(OrderNumber1 &lt;&gt; "", OrderNumber1, "")</f>
        <v/>
      </c>
      <c r="N38" s="125"/>
      <c r="O38" s="120"/>
      <c r="P38" s="121"/>
      <c r="Q38" s="123"/>
      <c r="R38" s="108"/>
      <c r="S38" s="116"/>
      <c r="T38" s="116"/>
      <c r="U38" s="116"/>
      <c r="V38" s="117"/>
      <c r="W38" s="66" t="s">
        <v>28</v>
      </c>
      <c r="X38" s="98">
        <v>3</v>
      </c>
      <c r="Y38" s="52"/>
    </row>
    <row r="39" spans="2:25" s="30" customFormat="1" ht="19.5" customHeight="1">
      <c r="B39" s="138"/>
      <c r="C39" s="34"/>
      <c r="D39" s="93"/>
      <c r="E39" s="93"/>
      <c r="F39" s="93"/>
      <c r="G39" s="93"/>
      <c r="H39" s="9"/>
      <c r="I39" s="9"/>
      <c r="J39" s="9"/>
      <c r="K39" s="9"/>
      <c r="L39" s="9"/>
      <c r="M39" s="9"/>
      <c r="N39" s="9"/>
      <c r="O39" s="9"/>
      <c r="P39" s="9"/>
      <c r="Q39" s="9"/>
      <c r="R39" s="9"/>
      <c r="S39" s="9"/>
      <c r="T39" s="9"/>
      <c r="U39" s="9"/>
      <c r="V39" s="9"/>
      <c r="W39" s="9"/>
      <c r="X39" s="9"/>
      <c r="Y39" s="94"/>
    </row>
    <row r="40" spans="2:25" s="30" customFormat="1" ht="12.75">
      <c r="B40" s="42"/>
      <c r="C40" s="42"/>
      <c r="D40" s="15"/>
      <c r="E40" s="15"/>
      <c r="F40" s="15"/>
      <c r="G40" s="15"/>
    </row>
    <row r="41" spans="2:25" s="30" customFormat="1" ht="12.75">
      <c r="B41" s="42"/>
      <c r="C41" s="42"/>
      <c r="D41" s="15"/>
      <c r="E41" s="15"/>
      <c r="F41" s="15"/>
      <c r="G41" s="15"/>
    </row>
    <row r="42" spans="2:25" s="30" customFormat="1" ht="12.75">
      <c r="B42" s="42"/>
      <c r="C42" s="42"/>
      <c r="D42" s="15"/>
      <c r="E42" s="15"/>
      <c r="F42" s="15"/>
      <c r="G42" s="15"/>
    </row>
    <row r="43" spans="2:25" s="30" customFormat="1" ht="12.75">
      <c r="B43" s="42"/>
      <c r="C43" s="42"/>
      <c r="D43" s="15"/>
      <c r="E43" s="15"/>
      <c r="F43" s="15"/>
      <c r="G43" s="15"/>
    </row>
    <row r="44" spans="2:25" s="30" customFormat="1" ht="12.75">
      <c r="B44" s="42"/>
      <c r="C44" s="42"/>
      <c r="D44" s="15"/>
      <c r="E44" s="15"/>
      <c r="F44" s="15"/>
      <c r="G44" s="15"/>
    </row>
    <row r="45" spans="2:25" s="30" customFormat="1" ht="12.75">
      <c r="B45" s="42"/>
      <c r="C45" s="42"/>
      <c r="D45" s="15"/>
      <c r="E45" s="15"/>
      <c r="F45" s="15"/>
      <c r="G45" s="15"/>
    </row>
    <row r="46" spans="2:25" s="30" customFormat="1" ht="12.75">
      <c r="B46" s="42"/>
      <c r="C46" s="42"/>
      <c r="D46" s="15"/>
      <c r="E46" s="15"/>
      <c r="F46" s="15"/>
      <c r="G46" s="15"/>
    </row>
  </sheetData>
  <protectedRanges>
    <protectedRange sqref="J9 J12 J15 J18 J21 K23" name="Range1_1"/>
  </protectedRanges>
  <mergeCells count="24">
    <mergeCell ref="L36:L38"/>
    <mergeCell ref="M36:N36"/>
    <mergeCell ref="F36:H36"/>
    <mergeCell ref="B9:B39"/>
    <mergeCell ref="B1:B6"/>
    <mergeCell ref="D34:E34"/>
    <mergeCell ref="F34:G34"/>
    <mergeCell ref="F37:H37"/>
    <mergeCell ref="S34:T34"/>
    <mergeCell ref="F35:H35"/>
    <mergeCell ref="I35:J35"/>
    <mergeCell ref="P34:Q34"/>
    <mergeCell ref="R37:R38"/>
    <mergeCell ref="F38:H38"/>
    <mergeCell ref="S36:T36"/>
    <mergeCell ref="S37:V38"/>
    <mergeCell ref="O37:P38"/>
    <mergeCell ref="Q37:Q38"/>
    <mergeCell ref="I36:J36"/>
    <mergeCell ref="I38:J38"/>
    <mergeCell ref="M38:N38"/>
    <mergeCell ref="P35:Q36"/>
    <mergeCell ref="I37:J37"/>
    <mergeCell ref="M37:N37"/>
  </mergeCells>
  <printOptions horizontalCentered="1" verticalCentered="1"/>
  <pageMargins left="0.11810914260717401" right="3.9370078740157501E-2" top="0.19684930008748899" bottom="0.19684930008748899" header="0" footer="0"/>
  <pageSetup paperSize="8" scale="9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26"/>
  <sheetViews>
    <sheetView zoomScale="70" zoomScaleNormal="70" zoomScaleSheetLayoutView="70" zoomScalePageLayoutView="85" workbookViewId="0">
      <selection activeCell="T25" sqref="T25"/>
    </sheetView>
  </sheetViews>
  <sheetFormatPr defaultRowHeight="12.75"/>
  <cols>
    <col min="1" max="1" width="5.5703125" customWidth="1"/>
    <col min="2" max="2" width="27.140625" customWidth="1"/>
    <col min="3" max="3" width="32.5703125" customWidth="1"/>
    <col min="4" max="4" width="22.5703125" customWidth="1"/>
    <col min="5" max="5" width="22.7109375" customWidth="1"/>
    <col min="6" max="6" width="24.5703125" customWidth="1"/>
    <col min="7" max="7" width="20.5703125" customWidth="1"/>
    <col min="8" max="8" width="22.5703125" customWidth="1"/>
    <col min="9" max="9" width="8.5703125" customWidth="1"/>
    <col min="10" max="10" width="25.42578125" customWidth="1"/>
    <col min="11" max="11" width="28.5703125" customWidth="1"/>
    <col min="12" max="12" width="12.140625" customWidth="1"/>
    <col min="13" max="13" width="28.28515625" customWidth="1"/>
  </cols>
  <sheetData>
    <row r="1" spans="1:33">
      <c r="A1" t="s">
        <v>120</v>
      </c>
      <c r="C1" s="50">
        <v>60</v>
      </c>
    </row>
    <row r="2" spans="1:33" s="24" customFormat="1" ht="36" customHeight="1">
      <c r="A2" s="143" t="s">
        <v>93</v>
      </c>
      <c r="B2" s="143"/>
      <c r="C2" s="143"/>
      <c r="D2" s="143"/>
      <c r="E2" s="143"/>
      <c r="F2" s="143"/>
      <c r="G2" s="143"/>
      <c r="H2" s="143"/>
      <c r="I2" s="144" t="str">
        <f ca="1">"© Copyright " &amp; 'Cover page'!B7 &amp; " " &amp;'Cover page'!B1</f>
        <v>© Copyright 2024 Hitachi Energy. All rights reserved.</v>
      </c>
      <c r="J2" s="144"/>
      <c r="K2" s="144"/>
      <c r="L2" s="19"/>
      <c r="M2" s="53"/>
      <c r="N2" s="53"/>
      <c r="O2" s="59"/>
      <c r="P2" s="59"/>
      <c r="Q2" s="59"/>
      <c r="R2" s="59"/>
      <c r="S2" s="59"/>
      <c r="T2" s="59"/>
      <c r="U2" s="59"/>
      <c r="V2" s="59"/>
      <c r="W2" s="59"/>
      <c r="X2" s="59"/>
      <c r="Y2" s="59"/>
      <c r="Z2" s="59"/>
      <c r="AA2" s="59"/>
      <c r="AB2" s="59"/>
      <c r="AC2" s="59"/>
      <c r="AD2" s="59"/>
      <c r="AE2" s="59"/>
      <c r="AF2" s="59"/>
      <c r="AG2" s="59"/>
    </row>
    <row r="3" spans="1:33" ht="15" customHeight="1" thickBot="1">
      <c r="A3" s="37" t="s">
        <v>105</v>
      </c>
      <c r="B3" s="74" t="s">
        <v>146</v>
      </c>
      <c r="C3" s="74" t="s">
        <v>32</v>
      </c>
      <c r="D3" s="74" t="s">
        <v>82</v>
      </c>
      <c r="E3" s="74" t="s">
        <v>134</v>
      </c>
      <c r="F3" s="74" t="s">
        <v>187</v>
      </c>
      <c r="G3" s="74" t="s">
        <v>21</v>
      </c>
      <c r="H3" s="74" t="s">
        <v>147</v>
      </c>
      <c r="I3" s="74" t="s">
        <v>18</v>
      </c>
      <c r="J3" s="16" t="s">
        <v>194</v>
      </c>
      <c r="K3" s="43" t="s">
        <v>122</v>
      </c>
    </row>
    <row r="4" spans="1:33" ht="15" customHeight="1" thickBot="1">
      <c r="A4" s="75" t="s">
        <v>131</v>
      </c>
      <c r="B4" s="75" t="s">
        <v>60</v>
      </c>
      <c r="C4" s="75" t="s">
        <v>178</v>
      </c>
      <c r="D4" s="96" t="s">
        <v>79</v>
      </c>
      <c r="E4" s="96" t="s">
        <v>13</v>
      </c>
      <c r="F4" s="96" t="s">
        <v>164</v>
      </c>
      <c r="G4" s="96" t="s">
        <v>17</v>
      </c>
      <c r="H4" s="96" t="s">
        <v>164</v>
      </c>
      <c r="I4" s="96" t="s">
        <v>131</v>
      </c>
      <c r="J4" s="96" t="s">
        <v>164</v>
      </c>
      <c r="K4" s="96" t="s">
        <v>158</v>
      </c>
    </row>
    <row r="5" spans="1:33" ht="15" customHeight="1" thickBot="1">
      <c r="A5" s="75" t="s">
        <v>22</v>
      </c>
      <c r="B5" s="75" t="s">
        <v>153</v>
      </c>
      <c r="C5" s="75" t="s">
        <v>19</v>
      </c>
      <c r="D5" s="96" t="s">
        <v>59</v>
      </c>
      <c r="E5" s="96" t="s">
        <v>71</v>
      </c>
      <c r="F5" s="96" t="s">
        <v>128</v>
      </c>
      <c r="G5" s="96" t="s">
        <v>17</v>
      </c>
      <c r="H5" s="96" t="s">
        <v>128</v>
      </c>
      <c r="I5" s="96" t="s">
        <v>169</v>
      </c>
      <c r="J5" s="96" t="s">
        <v>128</v>
      </c>
      <c r="K5" s="96" t="s">
        <v>158</v>
      </c>
    </row>
    <row r="6" spans="1:33" ht="15" customHeight="1" thickBot="1">
      <c r="A6" s="75" t="s">
        <v>81</v>
      </c>
      <c r="B6" s="75" t="s">
        <v>168</v>
      </c>
      <c r="C6" s="75" t="s">
        <v>198</v>
      </c>
      <c r="D6" s="96" t="s">
        <v>59</v>
      </c>
      <c r="E6" s="96" t="s">
        <v>177</v>
      </c>
      <c r="F6" s="96" t="s">
        <v>107</v>
      </c>
      <c r="G6" s="96" t="s">
        <v>17</v>
      </c>
      <c r="H6" s="96" t="s">
        <v>107</v>
      </c>
      <c r="I6" s="96" t="s">
        <v>131</v>
      </c>
      <c r="J6" s="96" t="s">
        <v>107</v>
      </c>
      <c r="K6" s="96" t="s">
        <v>158</v>
      </c>
    </row>
    <row r="7" spans="1:33" ht="15" customHeight="1" thickBot="1">
      <c r="A7" s="75" t="s">
        <v>162</v>
      </c>
      <c r="B7" s="75" t="s">
        <v>51</v>
      </c>
      <c r="C7" s="75" t="s">
        <v>123</v>
      </c>
      <c r="D7" s="96" t="s">
        <v>193</v>
      </c>
      <c r="E7" s="96" t="s">
        <v>135</v>
      </c>
      <c r="F7" s="96" t="s">
        <v>66</v>
      </c>
      <c r="G7" s="96" t="s">
        <v>17</v>
      </c>
      <c r="H7" s="96" t="s">
        <v>66</v>
      </c>
      <c r="I7" s="96" t="s">
        <v>131</v>
      </c>
      <c r="J7" s="96" t="s">
        <v>66</v>
      </c>
      <c r="K7" s="96" t="s">
        <v>158</v>
      </c>
    </row>
    <row r="8" spans="1:33" ht="15" customHeight="1" thickBot="1">
      <c r="A8" s="75" t="s">
        <v>179</v>
      </c>
      <c r="B8" s="75" t="s">
        <v>51</v>
      </c>
      <c r="C8" s="75" t="s">
        <v>9</v>
      </c>
      <c r="D8" s="96" t="s">
        <v>106</v>
      </c>
      <c r="E8" s="96" t="s">
        <v>70</v>
      </c>
      <c r="F8" s="96" t="s">
        <v>40</v>
      </c>
      <c r="G8" s="96" t="s">
        <v>17</v>
      </c>
      <c r="H8" s="96" t="s">
        <v>40</v>
      </c>
      <c r="I8" s="96" t="s">
        <v>169</v>
      </c>
      <c r="J8" s="96" t="s">
        <v>40</v>
      </c>
      <c r="K8" s="96" t="s">
        <v>158</v>
      </c>
    </row>
    <row r="9" spans="1:33" ht="15" customHeight="1" thickBot="1">
      <c r="A9" s="75" t="s">
        <v>169</v>
      </c>
      <c r="B9" s="75" t="s">
        <v>51</v>
      </c>
      <c r="C9" s="75" t="s">
        <v>108</v>
      </c>
      <c r="D9" s="96" t="s">
        <v>95</v>
      </c>
      <c r="E9" s="96" t="s">
        <v>83</v>
      </c>
      <c r="F9" s="96" t="s">
        <v>160</v>
      </c>
      <c r="G9" s="96" t="s">
        <v>17</v>
      </c>
      <c r="H9" s="96" t="s">
        <v>160</v>
      </c>
      <c r="I9" s="96" t="s">
        <v>131</v>
      </c>
      <c r="J9" s="96" t="s">
        <v>160</v>
      </c>
      <c r="K9" s="96" t="s">
        <v>158</v>
      </c>
    </row>
    <row r="10" spans="1:33" ht="15" customHeight="1" thickBot="1">
      <c r="A10" s="75" t="s">
        <v>165</v>
      </c>
      <c r="B10" s="75" t="s">
        <v>51</v>
      </c>
      <c r="C10" s="75" t="s">
        <v>156</v>
      </c>
      <c r="D10" s="96" t="s">
        <v>193</v>
      </c>
      <c r="E10" s="96" t="s">
        <v>83</v>
      </c>
      <c r="F10" s="96" t="s">
        <v>37</v>
      </c>
      <c r="G10" s="96" t="s">
        <v>17</v>
      </c>
      <c r="H10" s="96" t="s">
        <v>37</v>
      </c>
      <c r="I10" s="96" t="s">
        <v>131</v>
      </c>
      <c r="J10" s="96" t="s">
        <v>37</v>
      </c>
      <c r="K10" s="96" t="s">
        <v>158</v>
      </c>
    </row>
    <row r="11" spans="1:33" ht="15" customHeight="1" thickBot="1">
      <c r="A11" s="75" t="s">
        <v>92</v>
      </c>
      <c r="B11" s="75" t="s">
        <v>26</v>
      </c>
      <c r="C11" s="75" t="s">
        <v>34</v>
      </c>
      <c r="D11" s="96" t="s">
        <v>67</v>
      </c>
      <c r="E11" s="96" t="s">
        <v>158</v>
      </c>
      <c r="F11" s="96" t="s">
        <v>0</v>
      </c>
      <c r="G11" s="96" t="s">
        <v>17</v>
      </c>
      <c r="H11" s="96" t="s">
        <v>0</v>
      </c>
      <c r="I11" s="96" t="s">
        <v>131</v>
      </c>
      <c r="J11" s="96" t="s">
        <v>0</v>
      </c>
      <c r="K11" s="96" t="s">
        <v>158</v>
      </c>
    </row>
    <row r="12" spans="1:33" ht="15" customHeight="1" thickBot="1">
      <c r="A12" s="75" t="s">
        <v>150</v>
      </c>
      <c r="B12" s="75" t="s">
        <v>174</v>
      </c>
      <c r="C12" s="75" t="s">
        <v>185</v>
      </c>
      <c r="D12" s="96" t="s">
        <v>166</v>
      </c>
      <c r="E12" s="96" t="s">
        <v>144</v>
      </c>
      <c r="F12" s="96" t="s">
        <v>158</v>
      </c>
      <c r="G12" s="96" t="s">
        <v>175</v>
      </c>
      <c r="H12" s="96" t="s">
        <v>185</v>
      </c>
      <c r="I12" s="96" t="s">
        <v>131</v>
      </c>
      <c r="J12" s="96" t="s">
        <v>143</v>
      </c>
      <c r="K12" s="96" t="s">
        <v>158</v>
      </c>
    </row>
    <row r="13" spans="1:33" ht="15" customHeight="1" thickBot="1">
      <c r="A13" s="75" t="s">
        <v>52</v>
      </c>
      <c r="B13" s="75" t="s">
        <v>74</v>
      </c>
      <c r="C13" s="75" t="s">
        <v>2</v>
      </c>
      <c r="D13" s="96" t="s">
        <v>6</v>
      </c>
      <c r="E13" s="96" t="s">
        <v>158</v>
      </c>
      <c r="F13" s="96" t="s">
        <v>54</v>
      </c>
      <c r="G13" s="96" t="s">
        <v>11</v>
      </c>
      <c r="H13" s="96" t="s">
        <v>54</v>
      </c>
      <c r="I13" s="96" t="s">
        <v>131</v>
      </c>
      <c r="J13" s="96" t="s">
        <v>48</v>
      </c>
      <c r="K13" s="96" t="s">
        <v>158</v>
      </c>
    </row>
    <row r="14" spans="1:33" ht="15" customHeight="1" thickBot="1">
      <c r="A14" s="75" t="s">
        <v>145</v>
      </c>
      <c r="B14" s="75" t="s">
        <v>163</v>
      </c>
      <c r="C14" s="75" t="s">
        <v>73</v>
      </c>
      <c r="D14" s="96" t="s">
        <v>44</v>
      </c>
      <c r="E14" s="96" t="s">
        <v>88</v>
      </c>
      <c r="F14" s="96" t="s">
        <v>15</v>
      </c>
      <c r="G14" s="96" t="s">
        <v>11</v>
      </c>
      <c r="H14" s="96" t="s">
        <v>15</v>
      </c>
      <c r="I14" s="96" t="s">
        <v>131</v>
      </c>
      <c r="J14" s="96" t="s">
        <v>180</v>
      </c>
      <c r="K14" s="96" t="s">
        <v>158</v>
      </c>
    </row>
    <row r="15" spans="1:33" ht="15" customHeight="1" thickBot="1">
      <c r="A15" s="75" t="s">
        <v>192</v>
      </c>
      <c r="B15" s="75" t="s">
        <v>171</v>
      </c>
      <c r="C15" s="75" t="s">
        <v>5</v>
      </c>
      <c r="D15" s="96" t="s">
        <v>158</v>
      </c>
      <c r="E15" s="96" t="s">
        <v>158</v>
      </c>
      <c r="F15" s="96" t="s">
        <v>5</v>
      </c>
      <c r="G15" s="96" t="s">
        <v>31</v>
      </c>
      <c r="H15" s="96" t="s">
        <v>5</v>
      </c>
      <c r="I15" s="96" t="s">
        <v>131</v>
      </c>
      <c r="J15" s="96" t="s">
        <v>171</v>
      </c>
      <c r="K15" s="96" t="s">
        <v>158</v>
      </c>
    </row>
    <row r="16" spans="1:33" ht="15" customHeight="1" thickBot="1">
      <c r="A16" s="75" t="s">
        <v>61</v>
      </c>
      <c r="B16" s="75" t="s">
        <v>58</v>
      </c>
      <c r="C16" s="75" t="s">
        <v>117</v>
      </c>
      <c r="D16" s="96" t="s">
        <v>158</v>
      </c>
      <c r="E16" s="96" t="s">
        <v>158</v>
      </c>
      <c r="F16" s="96" t="s">
        <v>65</v>
      </c>
      <c r="G16" s="96" t="s">
        <v>159</v>
      </c>
      <c r="H16" s="96" t="s">
        <v>158</v>
      </c>
      <c r="I16" s="96" t="s">
        <v>131</v>
      </c>
      <c r="J16" s="96" t="s">
        <v>157</v>
      </c>
      <c r="K16" s="96" t="s">
        <v>158</v>
      </c>
    </row>
    <row r="17" spans="1:13" ht="15" customHeight="1" thickBot="1">
      <c r="A17" s="75" t="s">
        <v>191</v>
      </c>
      <c r="B17" s="75" t="s">
        <v>141</v>
      </c>
      <c r="C17" s="75" t="s">
        <v>3</v>
      </c>
      <c r="D17" s="96" t="s">
        <v>158</v>
      </c>
      <c r="E17" s="96" t="s">
        <v>158</v>
      </c>
      <c r="F17" s="96" t="s">
        <v>101</v>
      </c>
      <c r="G17" s="96" t="s">
        <v>114</v>
      </c>
      <c r="H17" s="96" t="s">
        <v>101</v>
      </c>
      <c r="I17" s="96" t="s">
        <v>131</v>
      </c>
      <c r="J17" s="96" t="s">
        <v>189</v>
      </c>
      <c r="K17" s="96" t="s">
        <v>158</v>
      </c>
    </row>
    <row r="18" spans="1:13" ht="15" customHeight="1" thickBot="1">
      <c r="A18" s="75" t="s">
        <v>184</v>
      </c>
      <c r="B18" s="75" t="s">
        <v>96</v>
      </c>
      <c r="C18" s="75" t="s">
        <v>7</v>
      </c>
      <c r="D18" s="96" t="s">
        <v>158</v>
      </c>
      <c r="E18" s="96" t="s">
        <v>158</v>
      </c>
      <c r="F18" s="96" t="s">
        <v>7</v>
      </c>
      <c r="G18" s="96" t="s">
        <v>114</v>
      </c>
      <c r="H18" s="96" t="s">
        <v>102</v>
      </c>
      <c r="I18" s="96" t="s">
        <v>196</v>
      </c>
      <c r="J18" s="96" t="s">
        <v>7</v>
      </c>
      <c r="K18" s="96" t="s">
        <v>158</v>
      </c>
    </row>
    <row r="19" spans="1:13" ht="15" customHeight="1" thickBot="1">
      <c r="A19" s="75" t="s">
        <v>57</v>
      </c>
      <c r="B19" s="75" t="s">
        <v>99</v>
      </c>
      <c r="C19" s="75" t="s">
        <v>50</v>
      </c>
      <c r="D19" s="96" t="s">
        <v>125</v>
      </c>
      <c r="E19" s="96" t="s">
        <v>151</v>
      </c>
      <c r="F19" s="96" t="s">
        <v>158</v>
      </c>
      <c r="G19" s="96" t="s">
        <v>114</v>
      </c>
      <c r="H19" s="96" t="s">
        <v>43</v>
      </c>
      <c r="I19" s="96" t="s">
        <v>131</v>
      </c>
      <c r="J19" s="96" t="s">
        <v>142</v>
      </c>
      <c r="K19" s="96" t="s">
        <v>158</v>
      </c>
    </row>
    <row r="20" spans="1:13" ht="15" customHeight="1" thickBot="1">
      <c r="A20" s="75" t="s">
        <v>137</v>
      </c>
      <c r="B20" s="75" t="s">
        <v>23</v>
      </c>
      <c r="C20" s="75" t="s">
        <v>84</v>
      </c>
      <c r="D20" s="96" t="s">
        <v>183</v>
      </c>
      <c r="E20" s="96" t="s">
        <v>173</v>
      </c>
      <c r="F20" s="96" t="s">
        <v>109</v>
      </c>
      <c r="G20" s="96" t="s">
        <v>114</v>
      </c>
      <c r="H20" s="96" t="s">
        <v>24</v>
      </c>
      <c r="I20" s="96" t="s">
        <v>57</v>
      </c>
      <c r="J20" s="96" t="s">
        <v>170</v>
      </c>
      <c r="K20" s="96" t="s">
        <v>158</v>
      </c>
    </row>
    <row r="21" spans="1:13" ht="15" customHeight="1" thickBot="1">
      <c r="A21" s="75" t="s">
        <v>195</v>
      </c>
      <c r="B21" s="75" t="s">
        <v>23</v>
      </c>
      <c r="C21" s="75" t="s">
        <v>29</v>
      </c>
      <c r="D21" s="96" t="s">
        <v>62</v>
      </c>
      <c r="E21" s="96" t="s">
        <v>173</v>
      </c>
      <c r="F21" s="96" t="s">
        <v>56</v>
      </c>
      <c r="G21" s="96" t="s">
        <v>114</v>
      </c>
      <c r="H21" s="96" t="s">
        <v>4</v>
      </c>
      <c r="I21" s="96" t="s">
        <v>111</v>
      </c>
      <c r="J21" s="96" t="s">
        <v>56</v>
      </c>
      <c r="K21" s="96" t="s">
        <v>158</v>
      </c>
    </row>
    <row r="22" spans="1:13" ht="15" customHeight="1">
      <c r="A22" s="10" t="s">
        <v>49</v>
      </c>
      <c r="B22" s="10" t="s">
        <v>33</v>
      </c>
      <c r="C22" s="10" t="s">
        <v>77</v>
      </c>
      <c r="D22" s="12" t="s">
        <v>47</v>
      </c>
      <c r="E22" s="12" t="s">
        <v>158</v>
      </c>
      <c r="F22" s="12" t="s">
        <v>118</v>
      </c>
      <c r="G22" s="12" t="s">
        <v>197</v>
      </c>
      <c r="H22" s="12" t="s">
        <v>118</v>
      </c>
      <c r="I22" s="12" t="s">
        <v>131</v>
      </c>
      <c r="J22" s="12" t="s">
        <v>41</v>
      </c>
      <c r="K22" s="12" t="s">
        <v>158</v>
      </c>
    </row>
    <row r="26" spans="1:13">
      <c r="M26" s="77"/>
    </row>
  </sheetData>
  <mergeCells count="2">
    <mergeCell ref="A2:H2"/>
    <mergeCell ref="I2:K2"/>
  </mergeCells>
  <pageMargins left="0.7" right="0.7" top="0.66666666666666663" bottom="0.75" header="0.3" footer="0.3"/>
  <pageSetup paperSize="8" scale="80" fitToHeight="0" orientation="landscape" r:id="rId1"/>
  <headerFooter alignWithMargins="0">
    <oddHeader xml:space="preserve">&amp;L&amp;G   Hitachi Energy [legal] Ltd.&amp;C&amp;11Bill of Material&amp;RCustomer: HIDRELCO
Order number: </oddHeader>
    <oddFooter>&amp;CSheet &amp;P of &amp;N&amp;RQ140059-10101_2024-11-30_BillOfMaterial.xlsm
Doc. no. Q140059-10101Rev.ind.: EO
Date: 11/30/2024 &amp;LPrepared: 05/05/14 M. MORALES
Approved: 05/05/14 M. MORALES</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95"/>
  <sheetViews>
    <sheetView zoomScale="70" zoomScaleNormal="70" zoomScaleSheetLayoutView="70" zoomScalePageLayoutView="70" workbookViewId="0">
      <selection activeCell="P32" sqref="P32"/>
    </sheetView>
  </sheetViews>
  <sheetFormatPr defaultRowHeight="12.75"/>
  <cols>
    <col min="1" max="1" width="5.5703125" customWidth="1"/>
    <col min="2" max="2" width="27.140625" customWidth="1"/>
    <col min="3" max="3" width="32.5703125" customWidth="1"/>
    <col min="4" max="4" width="22.5703125" customWidth="1"/>
    <col min="5" max="5" width="22.7109375" customWidth="1"/>
    <col min="6" max="6" width="24.5703125" customWidth="1"/>
    <col min="7" max="7" width="20.5703125" customWidth="1"/>
    <col min="8" max="8" width="22.5703125" customWidth="1"/>
    <col min="9" max="9" width="8.5703125" customWidth="1"/>
    <col min="10" max="10" width="25.42578125" customWidth="1"/>
    <col min="11" max="11" width="28.5703125" customWidth="1"/>
    <col min="12" max="12" width="12.28515625" customWidth="1"/>
    <col min="13" max="13" width="28.28515625" customWidth="1"/>
  </cols>
  <sheetData>
    <row r="1" spans="1:33" ht="13.15" customHeight="1"/>
    <row r="2" spans="1:33" s="24" customFormat="1" ht="36" customHeight="1">
      <c r="A2" s="143" t="s">
        <v>93</v>
      </c>
      <c r="B2" s="143"/>
      <c r="C2" s="143"/>
      <c r="D2" s="143"/>
      <c r="E2" s="143"/>
      <c r="F2" s="143"/>
      <c r="G2" s="143"/>
      <c r="H2" s="143"/>
      <c r="I2" s="144" t="str">
        <f ca="1">"© Copyright " &amp; 'Cover page'!B7 &amp; " " &amp;'Cover page'!B1</f>
        <v>© Copyright 2024 Hitachi Energy. All rights reserved.</v>
      </c>
      <c r="J2" s="144"/>
      <c r="K2" s="144"/>
      <c r="L2" s="19"/>
      <c r="M2" s="53"/>
      <c r="N2" s="53"/>
      <c r="O2" s="59"/>
      <c r="P2" s="59"/>
      <c r="Q2" s="59"/>
      <c r="R2" s="59"/>
      <c r="S2" s="59"/>
      <c r="T2" s="59"/>
      <c r="U2" s="59"/>
      <c r="V2" s="59"/>
      <c r="W2" s="59"/>
      <c r="X2" s="59"/>
      <c r="Y2" s="59"/>
      <c r="Z2" s="59"/>
      <c r="AA2" s="59"/>
      <c r="AB2" s="59"/>
      <c r="AC2" s="59"/>
      <c r="AD2" s="59"/>
      <c r="AE2" s="59"/>
      <c r="AF2" s="59"/>
      <c r="AG2" s="59"/>
    </row>
    <row r="3" spans="1:33" ht="15" customHeight="1" thickBot="1">
      <c r="A3" s="37" t="s">
        <v>105</v>
      </c>
      <c r="B3" s="74" t="s">
        <v>146</v>
      </c>
      <c r="C3" s="74" t="s">
        <v>32</v>
      </c>
      <c r="D3" s="74" t="s">
        <v>82</v>
      </c>
      <c r="E3" s="74" t="s">
        <v>134</v>
      </c>
      <c r="F3" s="74" t="s">
        <v>187</v>
      </c>
      <c r="G3" s="74" t="s">
        <v>21</v>
      </c>
      <c r="H3" s="74" t="s">
        <v>147</v>
      </c>
      <c r="I3" s="74" t="s">
        <v>18</v>
      </c>
      <c r="J3" s="16" t="s">
        <v>194</v>
      </c>
      <c r="K3" s="43" t="s">
        <v>122</v>
      </c>
    </row>
    <row r="4" spans="1:33" ht="15" customHeight="1" thickBot="1">
      <c r="A4" s="75" t="s">
        <v>131</v>
      </c>
      <c r="B4" s="75" t="s">
        <v>133</v>
      </c>
      <c r="C4" s="75" t="s">
        <v>127</v>
      </c>
      <c r="D4" s="96" t="s">
        <v>152</v>
      </c>
      <c r="E4" s="96" t="s">
        <v>158</v>
      </c>
      <c r="F4" s="96" t="s">
        <v>158</v>
      </c>
      <c r="G4" s="96" t="s">
        <v>17</v>
      </c>
      <c r="H4" s="96" t="s">
        <v>158</v>
      </c>
      <c r="I4" s="96" t="s">
        <v>22</v>
      </c>
      <c r="J4" s="96" t="s">
        <v>127</v>
      </c>
      <c r="K4" s="96" t="s">
        <v>158</v>
      </c>
    </row>
    <row r="5" spans="1:33" ht="15" customHeight="1" thickBot="1">
      <c r="A5" s="75" t="s">
        <v>22</v>
      </c>
      <c r="B5" s="75" t="s">
        <v>136</v>
      </c>
      <c r="C5" s="75" t="s">
        <v>69</v>
      </c>
      <c r="D5" s="96" t="s">
        <v>140</v>
      </c>
      <c r="E5" s="96" t="s">
        <v>42</v>
      </c>
      <c r="F5" s="96" t="s">
        <v>138</v>
      </c>
      <c r="G5" s="96" t="s">
        <v>17</v>
      </c>
      <c r="H5" s="96" t="s">
        <v>138</v>
      </c>
      <c r="I5" s="96" t="s">
        <v>169</v>
      </c>
      <c r="J5" s="96" t="s">
        <v>138</v>
      </c>
      <c r="K5" s="96" t="s">
        <v>158</v>
      </c>
    </row>
    <row r="6" spans="1:33" ht="15" customHeight="1" thickBot="1">
      <c r="A6" s="75" t="s">
        <v>81</v>
      </c>
      <c r="B6" s="75" t="s">
        <v>190</v>
      </c>
      <c r="C6" s="75" t="s">
        <v>190</v>
      </c>
      <c r="D6" s="96" t="s">
        <v>75</v>
      </c>
      <c r="E6" s="96" t="s">
        <v>167</v>
      </c>
      <c r="F6" s="96" t="s">
        <v>158</v>
      </c>
      <c r="G6" s="96" t="s">
        <v>161</v>
      </c>
      <c r="H6" s="96" t="s">
        <v>158</v>
      </c>
      <c r="I6" s="96" t="s">
        <v>92</v>
      </c>
      <c r="J6" s="96" t="s">
        <v>72</v>
      </c>
      <c r="K6" s="96" t="s">
        <v>158</v>
      </c>
    </row>
    <row r="7" spans="1:33" ht="15" customHeight="1" thickBot="1">
      <c r="A7" s="75" t="s">
        <v>162</v>
      </c>
      <c r="B7" s="75" t="s">
        <v>190</v>
      </c>
      <c r="C7" s="75" t="s">
        <v>190</v>
      </c>
      <c r="D7" s="96" t="s">
        <v>112</v>
      </c>
      <c r="E7" s="96" t="s">
        <v>12</v>
      </c>
      <c r="F7" s="96" t="s">
        <v>158</v>
      </c>
      <c r="G7" s="96" t="s">
        <v>161</v>
      </c>
      <c r="H7" s="96" t="s">
        <v>158</v>
      </c>
      <c r="I7" s="96" t="s">
        <v>22</v>
      </c>
      <c r="J7" s="96" t="s">
        <v>76</v>
      </c>
      <c r="K7" s="96" t="s">
        <v>158</v>
      </c>
    </row>
    <row r="8" spans="1:33" ht="15" customHeight="1" thickBot="1">
      <c r="A8" s="75" t="s">
        <v>179</v>
      </c>
      <c r="B8" s="75" t="s">
        <v>190</v>
      </c>
      <c r="C8" s="75" t="s">
        <v>190</v>
      </c>
      <c r="D8" s="96" t="s">
        <v>16</v>
      </c>
      <c r="E8" s="96" t="s">
        <v>167</v>
      </c>
      <c r="F8" s="96" t="s">
        <v>158</v>
      </c>
      <c r="G8" s="96" t="s">
        <v>161</v>
      </c>
      <c r="H8" s="96" t="s">
        <v>158</v>
      </c>
      <c r="I8" s="96" t="s">
        <v>145</v>
      </c>
      <c r="J8" s="96" t="s">
        <v>115</v>
      </c>
      <c r="K8" s="96" t="s">
        <v>158</v>
      </c>
    </row>
    <row r="9" spans="1:33" ht="15" customHeight="1" thickBot="1">
      <c r="A9" s="75" t="s">
        <v>169</v>
      </c>
      <c r="B9" s="75" t="s">
        <v>190</v>
      </c>
      <c r="C9" s="75" t="s">
        <v>190</v>
      </c>
      <c r="D9" s="96" t="s">
        <v>30</v>
      </c>
      <c r="E9" s="96" t="s">
        <v>25</v>
      </c>
      <c r="F9" s="96" t="s">
        <v>158</v>
      </c>
      <c r="G9" s="96" t="s">
        <v>161</v>
      </c>
      <c r="H9" s="96" t="s">
        <v>158</v>
      </c>
      <c r="I9" s="96" t="s">
        <v>131</v>
      </c>
      <c r="J9" s="96" t="s">
        <v>119</v>
      </c>
      <c r="K9" s="96" t="s">
        <v>158</v>
      </c>
    </row>
    <row r="10" spans="1:33" ht="15" customHeight="1" thickBot="1">
      <c r="A10" s="75" t="s">
        <v>165</v>
      </c>
      <c r="B10" s="75" t="s">
        <v>91</v>
      </c>
      <c r="C10" s="75" t="s">
        <v>91</v>
      </c>
      <c r="D10" s="96" t="s">
        <v>75</v>
      </c>
      <c r="E10" s="96" t="s">
        <v>167</v>
      </c>
      <c r="F10" s="96" t="s">
        <v>158</v>
      </c>
      <c r="G10" s="96" t="s">
        <v>161</v>
      </c>
      <c r="H10" s="96" t="s">
        <v>158</v>
      </c>
      <c r="I10" s="96" t="s">
        <v>22</v>
      </c>
      <c r="J10" s="96" t="s">
        <v>39</v>
      </c>
      <c r="K10" s="96" t="s">
        <v>158</v>
      </c>
    </row>
    <row r="11" spans="1:33" ht="15" customHeight="1" thickBot="1">
      <c r="A11" s="75" t="s">
        <v>92</v>
      </c>
      <c r="B11" s="75" t="s">
        <v>91</v>
      </c>
      <c r="C11" s="75" t="s">
        <v>91</v>
      </c>
      <c r="D11" s="96" t="s">
        <v>124</v>
      </c>
      <c r="E11" s="96" t="s">
        <v>98</v>
      </c>
      <c r="F11" s="96" t="s">
        <v>158</v>
      </c>
      <c r="G11" s="96" t="s">
        <v>161</v>
      </c>
      <c r="H11" s="96" t="s">
        <v>158</v>
      </c>
      <c r="I11" s="96" t="s">
        <v>92</v>
      </c>
      <c r="J11" s="96" t="s">
        <v>148</v>
      </c>
      <c r="K11" s="96" t="s">
        <v>158</v>
      </c>
    </row>
    <row r="12" spans="1:33" ht="15" customHeight="1" thickBot="1">
      <c r="A12" s="75" t="s">
        <v>150</v>
      </c>
      <c r="B12" s="75" t="s">
        <v>91</v>
      </c>
      <c r="C12" s="75" t="s">
        <v>91</v>
      </c>
      <c r="D12" s="96" t="s">
        <v>116</v>
      </c>
      <c r="E12" s="96" t="s">
        <v>98</v>
      </c>
      <c r="F12" s="96" t="s">
        <v>158</v>
      </c>
      <c r="G12" s="96" t="s">
        <v>161</v>
      </c>
      <c r="H12" s="96" t="s">
        <v>158</v>
      </c>
      <c r="I12" s="96" t="s">
        <v>131</v>
      </c>
      <c r="J12" s="96" t="s">
        <v>186</v>
      </c>
      <c r="K12" s="96" t="s">
        <v>158</v>
      </c>
    </row>
    <row r="13" spans="1:33" ht="15" customHeight="1">
      <c r="A13" s="10" t="s">
        <v>52</v>
      </c>
      <c r="B13" s="10" t="s">
        <v>91</v>
      </c>
      <c r="C13" s="10" t="s">
        <v>91</v>
      </c>
      <c r="D13" s="12" t="s">
        <v>16</v>
      </c>
      <c r="E13" s="12" t="s">
        <v>98</v>
      </c>
      <c r="F13" s="12" t="s">
        <v>158</v>
      </c>
      <c r="G13" s="12" t="s">
        <v>161</v>
      </c>
      <c r="H13" s="12" t="s">
        <v>158</v>
      </c>
      <c r="I13" s="12" t="s">
        <v>52</v>
      </c>
      <c r="J13" s="12" t="s">
        <v>126</v>
      </c>
      <c r="K13" s="12" t="s">
        <v>158</v>
      </c>
    </row>
    <row r="95" spans="13:13">
      <c r="M95" s="77"/>
    </row>
  </sheetData>
  <mergeCells count="2">
    <mergeCell ref="A2:H2"/>
    <mergeCell ref="I2:K2"/>
  </mergeCells>
  <pageMargins left="0.7" right="0.7" top="0.6785714285714286" bottom="0.75" header="0.3" footer="0.3"/>
  <pageSetup paperSize="8" scale="80" fitToHeight="0" orientation="landscape" r:id="rId1"/>
  <headerFooter alignWithMargins="0">
    <oddHeader xml:space="preserve">&amp;L&amp;G   Hitachi Energy [legal] Ltd.&amp;C&amp;11Bill of Material&amp;RCustomer: HIDRELCO
Order number: </oddHeader>
    <oddFooter>&amp;CSheet &amp;P of &amp;N&amp;RQ140059-10101_2024-11-30_BillOfMaterial.xlsm
Doc. no. Q140059-10101Rev.ind.: EO
Date: 11/30/2024 &amp;LPrepared: 05/05/14 M. MORALES
Approved: 05/05/14 M. MORALES</oddFooter>
  </headerFooter>
  <legacyDrawingHF r:id="rId2"/>
</worksheet>
</file>

<file path=customUI/customUI14.xml><?xml version="1.0" encoding="utf-8"?>
<customUI xmlns="http://schemas.microsoft.com/office/2009/07/customui">
  <ribbon startFromScratch="false">
    <tabs>
      <tab id="E3Reports" label="E3 Reports">
        <group id="E3BoMList" label="Bill of Material List">
          <button id="compareButton" label="Compare report" imageMso="FileSaveAsExcelXlsxMacro" size="large" onAction="Compar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BFE235415FE944B6F6324C9448F087" ma:contentTypeVersion="15" ma:contentTypeDescription="Create a new document." ma:contentTypeScope="" ma:versionID="65eaaaeba467af58e8f290f51c000c62">
  <xsd:schema xmlns:xsd="http://www.w3.org/2001/XMLSchema" xmlns:xs="http://www.w3.org/2001/XMLSchema" xmlns:p="http://schemas.microsoft.com/office/2006/metadata/properties" xmlns:ns3="e25722b0-7164-4461-837c-31002f898a76" xmlns:ns4="d595ef92-eb17-49c1-925e-043859ea08f4" targetNamespace="http://schemas.microsoft.com/office/2006/metadata/properties" ma:root="true" ma:fieldsID="d83fb729b639a15cbfef722484520e74" ns3:_="" ns4:_="">
    <xsd:import namespace="e25722b0-7164-4461-837c-31002f898a76"/>
    <xsd:import namespace="d595ef92-eb17-49c1-925e-043859ea08f4"/>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ObjectDetectorVersions" minOccurs="0"/>
                <xsd:element ref="ns3:MediaServiceDateTaken" minOccurs="0"/>
                <xsd:element ref="ns3:MediaServiceAutoTags" minOccurs="0"/>
                <xsd:element ref="ns3:MediaLengthInSeconds" minOccurs="0"/>
                <xsd:element ref="ns3:MediaServiceOCR" minOccurs="0"/>
                <xsd:element ref="ns3:MediaServiceGenerationTime" minOccurs="0"/>
                <xsd:element ref="ns3:MediaServiceEventHashCode"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5722b0-7164-4461-837c-31002f898a7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595ef92-eb17-49c1-925e-043859ea08f4" elementFormDefault="qualified">
    <xsd:import namespace="http://schemas.microsoft.com/office/2006/documentManagement/types"/>
    <xsd:import namespace="http://schemas.microsoft.com/office/infopath/2007/PartnerControls"/>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SharingHintHash" ma:index="1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e25722b0-7164-4461-837c-31002f898a76" xsi:nil="true"/>
  </documentManagement>
</p:properties>
</file>

<file path=customXml/itemProps1.xml><?xml version="1.0" encoding="utf-8"?>
<ds:datastoreItem xmlns:ds="http://schemas.openxmlformats.org/officeDocument/2006/customXml" ds:itemID="{82BC48B7-0848-4568-96A3-9FF38B8C70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5722b0-7164-4461-837c-31002f898a76"/>
    <ds:schemaRef ds:uri="d595ef92-eb17-49c1-925e-043859ea08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E82A7E0-690E-403D-8C28-A6A091350C90}">
  <ds:schemaRefs>
    <ds:schemaRef ds:uri="http://schemas.microsoft.com/sharepoint/v3/contenttype/forms"/>
  </ds:schemaRefs>
</ds:datastoreItem>
</file>

<file path=customXml/itemProps3.xml><?xml version="1.0" encoding="utf-8"?>
<ds:datastoreItem xmlns:ds="http://schemas.openxmlformats.org/officeDocument/2006/customXml" ds:itemID="{FEE9E629-FE3A-4200-99BA-748CDF6E40D5}">
  <ds:schemaRefs>
    <ds:schemaRef ds:uri="http://schemas.microsoft.com/office/2006/metadata/properties"/>
    <ds:schemaRef ds:uri="http://schemas.microsoft.com/office/infopath/2007/PartnerControls"/>
    <ds:schemaRef ds:uri="e25722b0-7164-4461-837c-31002f898a76"/>
  </ds:schemaRefs>
</ds:datastoreItem>
</file>

<file path=docMetadata/LabelInfo.xml><?xml version="1.0" encoding="utf-8"?>
<clbl:labelList xmlns:clbl="http://schemas.microsoft.com/office/2020/mipLabelMetadata">
  <clbl:label id="{7831e6d9-dc6c-4cd1-9ec6-1dc2b4133195}" enabled="0" method="" siteId="{7831e6d9-dc6c-4cd1-9ec6-1dc2b413319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121</vt:i4>
      </vt:variant>
    </vt:vector>
  </HeadingPairs>
  <TitlesOfParts>
    <vt:vector size="124" baseType="lpstr">
      <vt:lpstr>Cover page</vt:lpstr>
      <vt:lpstr>BoMList</vt:lpstr>
      <vt:lpstr>BoMListMechanical</vt:lpstr>
      <vt:lpstr>BoMList!BillOfMaterialArticleNumber</vt:lpstr>
      <vt:lpstr>BoMListMechanical!BillOfMaterialArticleNumber</vt:lpstr>
      <vt:lpstr>BoMList!BillOfMaterialComponentComment</vt:lpstr>
      <vt:lpstr>BoMListMechanical!BillOfMaterialComponentComment</vt:lpstr>
      <vt:lpstr>BoMList!BillOfMaterialComponentName</vt:lpstr>
      <vt:lpstr>BoMListMechanical!BillOfMaterialComponentName</vt:lpstr>
      <vt:lpstr>BoMList!BillOfMaterialDescription</vt:lpstr>
      <vt:lpstr>BoMListMechanical!BillOfMaterialDescription</vt:lpstr>
      <vt:lpstr>BoMList!BillOfMaterialManufacture</vt:lpstr>
      <vt:lpstr>BoMListMechanical!BillOfMaterialManufacture</vt:lpstr>
      <vt:lpstr>BoMList!BillOfMaterialManufactureNumber</vt:lpstr>
      <vt:lpstr>BoMListMechanical!BillOfMaterialManufactureNumber</vt:lpstr>
      <vt:lpstr>BoMList!BillOfMaterialPosition</vt:lpstr>
      <vt:lpstr>BoMListMechanical!BillOfMaterialPosition</vt:lpstr>
      <vt:lpstr>BoMList!BillOfMaterialQuantity</vt:lpstr>
      <vt:lpstr>BoMListMechanical!BillOfMaterialQuantity</vt:lpstr>
      <vt:lpstr>BoMList!BillOfMaterialRemark</vt:lpstr>
      <vt:lpstr>BoMListMechanical!BillOfMaterialRemark</vt:lpstr>
      <vt:lpstr>BoMList!BillOfMaterialTechnicalData</vt:lpstr>
      <vt:lpstr>BoMListMechanical!BillOfMaterialTechnicalData</vt:lpstr>
      <vt:lpstr>BoMList!BillOfMaterialTypeDesignation</vt:lpstr>
      <vt:lpstr>BoMListMechanical!BillOfMaterialTypeDesignation</vt:lpstr>
      <vt:lpstr>Company</vt:lpstr>
      <vt:lpstr>Customer1</vt:lpstr>
      <vt:lpstr>Customer2</vt:lpstr>
      <vt:lpstr>DocNumber</vt:lpstr>
      <vt:lpstr>DocuApprBy</vt:lpstr>
      <vt:lpstr>DocuApprDate</vt:lpstr>
      <vt:lpstr>DocuBasedOn</vt:lpstr>
      <vt:lpstr>DocuCreateDate</vt:lpstr>
      <vt:lpstr>DocuCreatedBy</vt:lpstr>
      <vt:lpstr>DocumentKind</vt:lpstr>
      <vt:lpstr>DocumentKindCode</vt:lpstr>
      <vt:lpstr>DocumentModBy1</vt:lpstr>
      <vt:lpstr>DocumentModBy2</vt:lpstr>
      <vt:lpstr>DocumentModBy3</vt:lpstr>
      <vt:lpstr>DocumentModDate1</vt:lpstr>
      <vt:lpstr>DocumentModDate2</vt:lpstr>
      <vt:lpstr>DocumentModDate3</vt:lpstr>
      <vt:lpstr>DocumentNumber</vt:lpstr>
      <vt:lpstr>DocumentRev1</vt:lpstr>
      <vt:lpstr>DocumentRev2</vt:lpstr>
      <vt:lpstr>DocumentRev3</vt:lpstr>
      <vt:lpstr>DocumentRevNote1</vt:lpstr>
      <vt:lpstr>DocumentRevNote2</vt:lpstr>
      <vt:lpstr>DocumentRevNote3</vt:lpstr>
      <vt:lpstr>DocuRevIndex</vt:lpstr>
      <vt:lpstr>Equipment1</vt:lpstr>
      <vt:lpstr>Equipment2</vt:lpstr>
      <vt:lpstr>FunctionalName</vt:lpstr>
      <vt:lpstr>BoMList!Header1</vt:lpstr>
      <vt:lpstr>BoMListMechanical!Header1</vt:lpstr>
      <vt:lpstr>BoMList!Header1Row1</vt:lpstr>
      <vt:lpstr>BoMListMechanical!Header1Row1</vt:lpstr>
      <vt:lpstr>BoMList!Header1Row10</vt:lpstr>
      <vt:lpstr>BoMListMechanical!Header1Row10</vt:lpstr>
      <vt:lpstr>BoMList!Header1Row11</vt:lpstr>
      <vt:lpstr>BoMList!Header1Row12</vt:lpstr>
      <vt:lpstr>BoMList!Header1Row13</vt:lpstr>
      <vt:lpstr>BoMList!Header1Row14</vt:lpstr>
      <vt:lpstr>BoMList!Header1Row15</vt:lpstr>
      <vt:lpstr>BoMList!Header1Row16</vt:lpstr>
      <vt:lpstr>BoMList!Header1Row17</vt:lpstr>
      <vt:lpstr>BoMList!Header1Row18</vt:lpstr>
      <vt:lpstr>BoMList!Header1Row19</vt:lpstr>
      <vt:lpstr>BoMList!Header1Row2</vt:lpstr>
      <vt:lpstr>BoMListMechanical!Header1Row2</vt:lpstr>
      <vt:lpstr>BoMList!Header1Row3</vt:lpstr>
      <vt:lpstr>BoMListMechanical!Header1Row3</vt:lpstr>
      <vt:lpstr>BoMList!Header1Row4</vt:lpstr>
      <vt:lpstr>BoMListMechanical!Header1Row4</vt:lpstr>
      <vt:lpstr>BoMList!Header1Row5</vt:lpstr>
      <vt:lpstr>BoMListMechanical!Header1Row5</vt:lpstr>
      <vt:lpstr>BoMList!Header1Row6</vt:lpstr>
      <vt:lpstr>BoMListMechanical!Header1Row6</vt:lpstr>
      <vt:lpstr>BoMList!Header1Row7</vt:lpstr>
      <vt:lpstr>BoMListMechanical!Header1Row7</vt:lpstr>
      <vt:lpstr>BoMList!Header1Row8</vt:lpstr>
      <vt:lpstr>BoMListMechanical!Header1Row8</vt:lpstr>
      <vt:lpstr>BoMList!Header1Row9</vt:lpstr>
      <vt:lpstr>BoMListMechanical!Header1Row9</vt:lpstr>
      <vt:lpstr>Language</vt:lpstr>
      <vt:lpstr>LocationName</vt:lpstr>
      <vt:lpstr>OrderNumber1</vt:lpstr>
      <vt:lpstr>OrderNumber2</vt:lpstr>
      <vt:lpstr>PageCount</vt:lpstr>
      <vt:lpstr>PageHeight</vt:lpstr>
      <vt:lpstr>Plant1</vt:lpstr>
      <vt:lpstr>Plant2</vt:lpstr>
      <vt:lpstr>BoMList!Print_Area</vt:lpstr>
      <vt:lpstr>BoMListMechanical!Print_Area</vt:lpstr>
      <vt:lpstr>'Cover page'!Print_Area</vt:lpstr>
      <vt:lpstr>BoMList!Print_Titles</vt:lpstr>
      <vt:lpstr>BoMListMechanical!Print_Titles</vt:lpstr>
      <vt:lpstr>PrintRangeWidth</vt:lpstr>
      <vt:lpstr>ProjectTitle1</vt:lpstr>
      <vt:lpstr>ProjectTitle2</vt:lpstr>
      <vt:lpstr>BoMList!ReportFields</vt:lpstr>
      <vt:lpstr>BoMListMechanical!ReportFields</vt:lpstr>
      <vt:lpstr>RespDep</vt:lpstr>
      <vt:lpstr>'Cover page'!SectionEquipment1</vt:lpstr>
      <vt:lpstr>'Cover page'!SectionEquipment2</vt:lpstr>
      <vt:lpstr>'Cover page'!SectionProjectTitle1</vt:lpstr>
      <vt:lpstr>'Cover page'!SectionProjectTitle2</vt:lpstr>
      <vt:lpstr>'Cover page'!SHEET_CREATED_BY</vt:lpstr>
      <vt:lpstr>'Cover page'!SheetApprBy</vt:lpstr>
      <vt:lpstr>'Cover page'!SheetCreateDate</vt:lpstr>
      <vt:lpstr>'Cover page'!SHEETDATEAPPROVAL</vt:lpstr>
      <vt:lpstr>'Cover page'!SheetRevDate1</vt:lpstr>
      <vt:lpstr>'Cover page'!SheetRevDate2</vt:lpstr>
      <vt:lpstr>'Cover page'!SheetRevDate3</vt:lpstr>
      <vt:lpstr>'Cover page'!SheetRevIndex1</vt:lpstr>
      <vt:lpstr>'Cover page'!SheetRevIndex2</vt:lpstr>
      <vt:lpstr>'Cover page'!SheetRevIndex3</vt:lpstr>
      <vt:lpstr>'Cover page'!Sheetrevisionindex</vt:lpstr>
      <vt:lpstr>'Cover page'!SheetRevModBy1</vt:lpstr>
      <vt:lpstr>'Cover page'!SheetRevModBy2</vt:lpstr>
      <vt:lpstr>'Cover page'!SheetRevModBy3</vt:lpstr>
      <vt:lpstr>'Cover page'!SheetRevNote1</vt:lpstr>
      <vt:lpstr>'Cover page'!SheetRevNote2</vt:lpstr>
      <vt:lpstr>'Cover page'!SheetRevNote3</vt:lpstr>
    </vt:vector>
  </TitlesOfParts>
  <Company>ABB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Cable List</dc:title>
  <dc:subject>Project name</dc:subject>
  <dc:creator>chpekre</dc:creator>
  <dc:description>Generated by ABB.E3Tools.E3ExportReportPlugin Version:24.3.10.4428</dc:description>
  <cp:lastModifiedBy>Jose Francisco Zudaire</cp:lastModifiedBy>
  <dcterms:created xsi:type="dcterms:W3CDTF">2024-11-30T22:15:51Z</dcterms:created>
  <dcterms:modified xsi:type="dcterms:W3CDTF">2024-11-30T22:17:19Z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0x010100A2BFE235415FE944B6F6324C9448F087</vt:lpwstr>
  </property>
</Properties>
</file>